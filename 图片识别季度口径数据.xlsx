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31a55786cf44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1592add2179243a0"/>
    <x:sheet xmlns:r="http://schemas.openxmlformats.org/officeDocument/2006/relationships" name="Quarterly" sheetId="2" r:id="R3f3853c05b9a4dc7"/>
    <x:sheet xmlns:r="http://schemas.openxmlformats.org/officeDocument/2006/relationships" name="Comp" sheetId="3" r:id="R23218f3252b0437e"/>
    <x:sheet xmlns:r="http://schemas.openxmlformats.org/officeDocument/2006/relationships" name="Ratio Analysis" sheetId="4" r:id="R5ed281e308384b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m/d/yyyy"/>
    <x:numFmt numFmtId="201" formatCode="#,##0"/>
    <x:numFmt numFmtId="202" formatCode="#,##0.##"/>
    <x:numFmt numFmtId="203" formatCode="#,##0.00"/>
    <x:numFmt numFmtId="204" formatCode="0"/>
    <x:numFmt numFmtId="205" formatCode="mm/dd/yyyy"/>
    <x:numFmt numFmtId="206" formatCode="0.000"/>
    <x:numFmt numFmtId="207" formatCode="0.0%"/>
  </x:numFmts>
  <x:fonts count="12">
    <x:font>
      <x:sz val="11"/>
      <x:name val="Carlito"/>
    </x:font>
    <x:font>
      <x:sz val="10"/>
      <x:color rgb="FF222222"/>
      <x:name val="Arial"/>
    </x:font>
    <x:font>
      <x:b/>
      <x:sz val="10"/>
      <x:color rgb="FFFFFFFF"/>
      <x:name val="Arial"/>
    </x:font>
    <x:font>
      <x:b/>
      <x:sz val="14"/>
      <x:color rgb="FF1F2937"/>
      <x:name val="Arial"/>
    </x:font>
    <x:font>
      <x:i/>
      <x:sz val="10"/>
      <x:color rgb="FF5B6573"/>
      <x:name val="Arial"/>
    </x:font>
    <x:font>
      <x:b/>
      <x:sz val="15"/>
      <x:color rgb="FF1F1F1F"/>
      <x:name val="Arial"/>
    </x:font>
    <x:font>
      <x:i/>
      <x:sz val="9.5"/>
      <x:color rgb="FF667085"/>
      <x:name val="Arial"/>
    </x:font>
    <x:font>
      <x:b/>
      <x:sz val="9.5"/>
      <x:color rgb="FFFFFFFF"/>
      <x:name val="Arial"/>
    </x:font>
    <x:font>
      <x:sz val="10"/>
      <x:color rgb="FF008000"/>
      <x:name val="Arial"/>
    </x:font>
    <x:font>
      <x:b/>
      <x:sz val="9"/>
      <x:color rgb="FFFFFFFF"/>
      <x:name val="Arial"/>
    </x:font>
    <x:font>
      <x:b/>
      <x:sz val="12"/>
      <x:color rgb="FF1F1F1F"/>
      <x:name val="Arial"/>
    </x:font>
    <x:font>
      <x:b/>
      <x:sz val="8.5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18">
    <x:border>
      <x:left/>
      <x:right/>
      <x:top/>
      <x:bottom/>
      <x:diagonal/>
    </x:border>
    <x:border>
      <x:left style="thin">
        <x:color rgb="FF1F4E78"/>
      </x:left>
      <x:right/>
      <x:top style="thin">
        <x:color rgb="FF1F4E78"/>
      </x:top>
      <x:bottom style="thin">
        <x:color rgb="FF1F4E78"/>
      </x:bottom>
      <x:diagonal/>
    </x:border>
    <x:border>
      <x:left/>
      <x:right/>
      <x:top style="thin">
        <x:color rgb="FF1F4E78"/>
      </x:top>
      <x:bottom style="thin">
        <x:color rgb="FF1F4E78"/>
      </x:bottom>
      <x:diagonal/>
    </x:border>
    <x:border>
      <x:left/>
      <x:right style="thin">
        <x:color rgb="FF1F4E78"/>
      </x:right>
      <x:top style="thin">
        <x:color rgb="FF1F4E78"/>
      </x:top>
      <x:bottom style="thin">
        <x:color rgb="FF1F4E78"/>
      </x:bottom>
      <x:diagonal/>
    </x:border>
    <x:border>
      <x:left style="thin">
        <x:color rgb="FF1F4E78"/>
      </x:left>
      <x:right/>
      <x:top style="thin">
        <x:color rgb="FF1F4E78"/>
      </x:top>
      <x:bottom style="thin">
        <x:color rgb="FFE2E8F0"/>
      </x:bottom>
      <x:diagonal/>
    </x:border>
    <x:border>
      <x:left/>
      <x:right/>
      <x:top style="thin">
        <x:color rgb="FF1F4E78"/>
      </x:top>
      <x:bottom style="thin">
        <x:color rgb="FFE2E8F0"/>
      </x:bottom>
      <x:diagonal/>
    </x:border>
    <x:border>
      <x:left/>
      <x:right style="thin">
        <x:color rgb="FF1F4E78"/>
      </x:right>
      <x:top style="thin">
        <x:color rgb="FF1F4E78"/>
      </x:top>
      <x:bottom style="thin">
        <x:color rgb="FFE2E8F0"/>
      </x:bottom>
      <x:diagonal/>
    </x:border>
    <x:border>
      <x:left/>
      <x:right/>
      <x:top style="thin">
        <x:color rgb="FFE2E8F0"/>
      </x:top>
      <x:bottom style="thin">
        <x:color rgb="FFE2E8F0"/>
      </x:bottom>
      <x:diagonal/>
    </x:border>
    <x:border>
      <x:left/>
      <x:right/>
      <x:top style="thin">
        <x:color rgb="FFE2E8F0"/>
      </x:top>
      <x:bottom style="thin">
        <x:color rgb="FFCBD5E1"/>
      </x:bottom>
      <x:diagonal/>
    </x:border>
    <x:border>
      <x:left/>
      <x:right/>
      <x:top/>
      <x:bottom style="thin">
        <x:color rgb="FF94A3B8"/>
      </x:bottom>
      <x:diagonal/>
    </x:border>
    <x:border>
      <x:left/>
      <x:right/>
      <x:top/>
      <x:bottom style="thin">
        <x:color rgb="FFE2E8F0"/>
      </x:bottom>
      <x:diagonal/>
    </x:border>
    <x:border>
      <x:left/>
      <x:right/>
      <x:top/>
      <x:bottom style="medium">
        <x:color rgb="FF163A5C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AFC3D8"/>
      </x:bottom>
      <x:diagonal/>
    </x:border>
    <x:border>
      <x:left/>
      <x:right/>
      <x:top/>
      <x:bottom style="thin">
        <x:color rgb="FFE5EAF0"/>
      </x:bottom>
      <x:diagonal/>
    </x:border>
    <x:border>
      <x:left/>
      <x:right/>
      <x:top style="thin">
        <x:color rgb="FFE5EAF0"/>
      </x:top>
      <x:bottom style="thin">
        <x:color rgb="FFE5EAF0"/>
      </x:bottom>
      <x:diagonal/>
    </x:border>
    <x:border>
      <x:left/>
      <x:right/>
      <x:top style="thin">
        <x:color rgb="FFE5EAF0"/>
      </x:top>
      <x:bottom/>
      <x:diagonal/>
    </x:border>
  </x:borders>
  <x:cellStyleXfs count="1">
    <x:xf numFmtId="0" fontId="0" fillId="0" borderId="0"/>
  </x:cellStyleXfs>
  <x:cellXfs count="1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left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 applyAlignment="1">
      <x:alignment horizontal="left" vertical="center"/>
    </x:xf>
    <x:xf numFmtId="200" fontId="1" fillId="0" borderId="7" xfId="0" applyNumberFormat="1" applyFont="1" applyFill="1" applyBorder="1" applyAlignment="1">
      <x:alignment horizontal="center" vertical="center"/>
    </x:xf>
    <x:xf numFmtId="201" fontId="1" fillId="0" borderId="7" xfId="0" applyNumberFormat="1" applyFont="1" applyFill="1" applyBorder="1" applyAlignment="1">
      <x:alignment horizontal="right" vertical="center"/>
    </x:xf>
    <x:xf numFmtId="0" fontId="1" fillId="0" borderId="8" xfId="0" applyNumberFormat="1" applyFont="1" applyFill="1" applyBorder="1" applyAlignment="1">
      <x:alignment horizontal="left" vertical="center"/>
    </x:xf>
    <x:xf numFmtId="200" fontId="1" fillId="0" borderId="8" xfId="0" applyNumberFormat="1" applyFont="1" applyFill="1" applyBorder="1" applyAlignment="1">
      <x:alignment horizontal="center" vertical="center"/>
    </x:xf>
    <x:xf numFmtId="201" fontId="1" fillId="0" borderId="8" xfId="0" applyNumberFormat="1" applyFont="1" applyFill="1" applyBorder="1" applyAlignment="1">
      <x:alignment horizontal="right" vertical="center"/>
    </x:xf>
    <x:xf numFmtId="202" fontId="1" fillId="0" borderId="7" xfId="0" applyNumberFormat="1" applyFont="1" applyFill="1" applyBorder="1" applyAlignment="1">
      <x:alignment horizontal="right" vertical="center"/>
    </x:xf>
    <x:xf numFmtId="202" fontId="1" fillId="0" borderId="8" xfId="0" applyNumberFormat="1" applyFont="1" applyFill="1" applyBorder="1" applyAlignment="1">
      <x:alignment horizontal="right" vertical="center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0" borderId="9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 vertical="center"/>
    </x:xf>
    <x:xf numFmtId="0" fontId="1" fillId="0" borderId="10" xfId="0" applyNumberFormat="1" applyFont="1" applyFill="1" applyBorder="1" applyAlignment="1">
      <x:alignment horizontal="center" vertical="center"/>
    </x:xf>
    <x:xf numFmtId="200" fontId="1" fillId="0" borderId="10" xfId="0" applyNumberFormat="1" applyFont="1" applyFill="1" applyBorder="1" applyAlignment="1">
      <x:alignment horizontal="center" vertical="center"/>
    </x:xf>
    <x:xf numFmtId="201" fontId="1" fillId="0" borderId="10" xfId="0" applyNumberFormat="1" applyFont="1" applyFill="1" applyBorder="1" applyAlignment="1">
      <x:alignment horizontal="right" vertical="center"/>
    </x:xf>
    <x:xf numFmtId="203" fontId="1" fillId="0" borderId="10" xfId="0" applyNumberFormat="1" applyFont="1" applyFill="1" applyBorder="1" applyAlignment="1">
      <x:alignment horizontal="right" vertical="center"/>
    </x:xf>
    <x:xf numFmtId="0" fontId="1" fillId="0" borderId="7" xfId="0" applyNumberFormat="1" applyFont="1" applyFill="1" applyBorder="1" applyAlignment="1">
      <x:alignment horizontal="center" vertical="center"/>
    </x:xf>
    <x:xf numFmtId="203" fontId="1" fillId="0" borderId="7" xfId="0" applyNumberFormat="1" applyFont="1" applyFill="1" applyBorder="1" applyAlignment="1">
      <x:alignment horizontal="right" vertical="center"/>
    </x:xf>
    <x:xf numFmtId="0" fontId="1" fillId="0" borderId="8" xfId="0" applyNumberFormat="1" applyFont="1" applyFill="1" applyBorder="1" applyAlignment="1">
      <x:alignment horizontal="center" vertical="center"/>
    </x:xf>
    <x:xf numFmtId="203" fontId="1" fillId="0" borderId="8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 applyAlignment="1">
      <x:alignment horizontal="center" vertical="center"/>
    </x:xf>
    <x:xf numFmtId="204" fontId="1" fillId="0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center" wrapText="1"/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1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1" xfId="0" applyNumberFormat="1" applyFont="1" applyFill="1" applyBorder="1"/>
    <x:xf numFmtId="0" fontId="7" fillId="5" borderId="11" xfId="0" applyNumberFormat="1" applyFont="1" applyFill="1" applyBorder="1" applyAlignment="1">
      <x:alignment wrapText="1"/>
    </x:xf>
    <x:xf numFmtId="0" fontId="7" fillId="5" borderId="11" xfId="0" applyNumberFormat="1" applyFont="1" applyFill="1" applyBorder="1" applyAlignment="1">
      <x:alignment horizontal="center" wrapText="1"/>
    </x:xf>
    <x:xf numFmtId="0" fontId="7" fillId="5" borderId="11" xfId="0" applyNumberFormat="1" applyFont="1" applyFill="1" applyBorder="1" applyAlignment="1">
      <x:alignment horizontal="center" vertical="center" wrapText="1"/>
    </x:xf>
    <x:xf numFmtId="205" fontId="1" fillId="0" borderId="0" xfId="0" applyNumberFormat="1" applyFont="1" applyFill="1" applyBorder="1" applyAlignment="1">
      <x:alignment horizontal="center"/>
    </x:xf>
    <x:xf numFmtId="203" fontId="1" fillId="0" borderId="0" xfId="0" applyNumberFormat="1" applyFont="1" applyFill="1" applyBorder="1"/>
    <x:xf numFmtId="201" fontId="1" fillId="0" borderId="0" xfId="0" applyNumberFormat="1" applyFont="1" applyFill="1" applyBorder="1"/>
    <x:xf numFmtId="206" fontId="1" fillId="0" borderId="0" xfId="0" applyNumberFormat="1" applyFont="1" applyFill="1" applyBorder="1"/>
    <x:xf numFmtId="205" fontId="8" fillId="0" borderId="0" xfId="0" applyNumberFormat="1" applyFont="1" applyFill="1" applyBorder="1" applyAlignment="1">
      <x:alignment horizontal="center"/>
    </x:xf>
    <x:xf numFmtId="203" fontId="8" fillId="0" borderId="0" xfId="0" applyNumberFormat="1" applyFont="1" applyFill="1" applyBorder="1"/>
    <x:xf numFmtId="201" fontId="8" fillId="0" borderId="0" xfId="0" applyNumberFormat="1" applyFont="1" applyFill="1" applyBorder="1"/>
    <x:xf numFmtId="0" fontId="1" fillId="0" borderId="12" xfId="0" applyNumberFormat="1" applyFont="1" applyFill="1" applyBorder="1" applyAlignment="1">
      <x:alignment horizontal="center"/>
    </x:xf>
    <x:xf numFmtId="205" fontId="8" fillId="0" borderId="12" xfId="0" applyNumberFormat="1" applyFont="1" applyFill="1" applyBorder="1" applyAlignment="1">
      <x:alignment horizontal="center"/>
    </x:xf>
    <x:xf numFmtId="203" fontId="8" fillId="0" borderId="12" xfId="0" applyNumberFormat="1" applyFont="1" applyFill="1" applyBorder="1"/>
    <x:xf numFmtId="201" fontId="8" fillId="0" borderId="12" xfId="0" applyNumberFormat="1" applyFont="1" applyFill="1" applyBorder="1"/>
    <x:xf numFmtId="206" fontId="1" fillId="0" borderId="12" xfId="0" applyNumberFormat="1" applyFont="1" applyFill="1" applyBorder="1"/>
    <x:xf numFmtId="203" fontId="1" fillId="0" borderId="12" xfId="0" applyNumberFormat="1" applyFont="1" applyFill="1" applyBorder="1"/>
    <x:xf numFmtId="0" fontId="1" fillId="0" borderId="13" xfId="0" applyNumberFormat="1" applyFont="1" applyFill="1" applyBorder="1" applyAlignment="1">
      <x:alignment horizontal="center"/>
    </x:xf>
    <x:xf numFmtId="205" fontId="8" fillId="0" borderId="13" xfId="0" applyNumberFormat="1" applyFont="1" applyFill="1" applyBorder="1" applyAlignment="1">
      <x:alignment horizontal="center"/>
    </x:xf>
    <x:xf numFmtId="203" fontId="8" fillId="0" borderId="13" xfId="0" applyNumberFormat="1" applyFont="1" applyFill="1" applyBorder="1"/>
    <x:xf numFmtId="201" fontId="8" fillId="0" borderId="13" xfId="0" applyNumberFormat="1" applyFont="1" applyFill="1" applyBorder="1"/>
    <x:xf numFmtId="206" fontId="1" fillId="0" borderId="13" xfId="0" applyNumberFormat="1" applyFont="1" applyFill="1" applyBorder="1"/>
    <x:xf numFmtId="203" fontId="1" fillId="0" borderId="13" xfId="0" applyNumberFormat="1" applyFont="1" applyFill="1" applyBorder="1"/>
    <x:xf numFmtId="0" fontId="1" fillId="0" borderId="14" xfId="0" applyNumberFormat="1" applyFont="1" applyFill="1" applyBorder="1" applyAlignment="1">
      <x:alignment horizontal="center"/>
    </x:xf>
    <x:xf numFmtId="205" fontId="8" fillId="0" borderId="14" xfId="0" applyNumberFormat="1" applyFont="1" applyFill="1" applyBorder="1" applyAlignment="1">
      <x:alignment horizontal="center"/>
    </x:xf>
    <x:xf numFmtId="203" fontId="8" fillId="0" borderId="14" xfId="0" applyNumberFormat="1" applyFont="1" applyFill="1" applyBorder="1"/>
    <x:xf numFmtId="201" fontId="8" fillId="0" borderId="14" xfId="0" applyNumberFormat="1" applyFont="1" applyFill="1" applyBorder="1"/>
    <x:xf numFmtId="206" fontId="1" fillId="0" borderId="14" xfId="0" applyNumberFormat="1" applyFont="1" applyFill="1" applyBorder="1"/>
    <x:xf numFmtId="203" fontId="1" fillId="0" borderId="14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horizontal="center" vertical="center"/>
    </x:xf>
    <x:xf numFmtId="205" fontId="8" fillId="0" borderId="12" xfId="0" applyNumberFormat="1" applyFont="1" applyFill="1" applyBorder="1" applyAlignment="1">
      <x:alignment horizontal="center" vertical="center"/>
    </x:xf>
    <x:xf numFmtId="203" fontId="8" fillId="0" borderId="12" xfId="0" applyNumberFormat="1" applyFont="1" applyFill="1" applyBorder="1" applyAlignment="1">
      <x:alignment vertical="center"/>
    </x:xf>
    <x:xf numFmtId="201" fontId="8" fillId="0" borderId="12" xfId="0" applyNumberFormat="1" applyFont="1" applyFill="1" applyBorder="1" applyAlignment="1">
      <x:alignment vertical="center"/>
    </x:xf>
    <x:xf numFmtId="206" fontId="1" fillId="0" borderId="12" xfId="0" applyNumberFormat="1" applyFont="1" applyFill="1" applyBorder="1" applyAlignment="1">
      <x:alignment vertical="center"/>
    </x:xf>
    <x:xf numFmtId="203" fontId="1" fillId="0" borderId="12" xfId="0" applyNumberFormat="1" applyFont="1" applyFill="1" applyBorder="1" applyAlignment="1">
      <x:alignment vertical="center"/>
    </x:xf>
    <x:xf numFmtId="0" fontId="1" fillId="0" borderId="13" xfId="0" applyNumberFormat="1" applyFont="1" applyFill="1" applyBorder="1" applyAlignment="1">
      <x:alignment horizontal="center" vertical="center"/>
    </x:xf>
    <x:xf numFmtId="205" fontId="8" fillId="0" borderId="13" xfId="0" applyNumberFormat="1" applyFont="1" applyFill="1" applyBorder="1" applyAlignment="1">
      <x:alignment horizontal="center" vertical="center"/>
    </x:xf>
    <x:xf numFmtId="203" fontId="8" fillId="0" borderId="13" xfId="0" applyNumberFormat="1" applyFont="1" applyFill="1" applyBorder="1" applyAlignment="1">
      <x:alignment vertical="center"/>
    </x:xf>
    <x:xf numFmtId="201" fontId="8" fillId="0" borderId="13" xfId="0" applyNumberFormat="1" applyFont="1" applyFill="1" applyBorder="1" applyAlignment="1">
      <x:alignment vertical="center"/>
    </x:xf>
    <x:xf numFmtId="206" fontId="1" fillId="0" borderId="13" xfId="0" applyNumberFormat="1" applyFont="1" applyFill="1" applyBorder="1" applyAlignment="1">
      <x:alignment vertical="center"/>
    </x:xf>
    <x:xf numFmtId="203" fontId="1" fillId="0" borderId="13" xfId="0" applyNumberFormat="1" applyFont="1" applyFill="1" applyBorder="1" applyAlignment="1">
      <x:alignment vertical="center"/>
    </x:xf>
    <x:xf numFmtId="0" fontId="1" fillId="0" borderId="14" xfId="0" applyNumberFormat="1" applyFont="1" applyFill="1" applyBorder="1" applyAlignment="1">
      <x:alignment horizontal="center" vertical="center"/>
    </x:xf>
    <x:xf numFmtId="205" fontId="8" fillId="0" borderId="14" xfId="0" applyNumberFormat="1" applyFont="1" applyFill="1" applyBorder="1" applyAlignment="1">
      <x:alignment horizontal="center" vertical="center"/>
    </x:xf>
    <x:xf numFmtId="203" fontId="8" fillId="0" borderId="14" xfId="0" applyNumberFormat="1" applyFont="1" applyFill="1" applyBorder="1" applyAlignment="1">
      <x:alignment vertical="center"/>
    </x:xf>
    <x:xf numFmtId="201" fontId="8" fillId="0" borderId="14" xfId="0" applyNumberFormat="1" applyFont="1" applyFill="1" applyBorder="1" applyAlignment="1">
      <x:alignment vertical="center"/>
    </x:xf>
    <x:xf numFmtId="206" fontId="1" fillId="0" borderId="14" xfId="0" applyNumberFormat="1" applyFont="1" applyFill="1" applyBorder="1" applyAlignment="1">
      <x:alignment vertical="center"/>
    </x:xf>
    <x:xf numFmtId="203" fontId="1" fillId="0" borderId="14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horizontal="center" wrapText="1"/>
    </x:xf>
    <x:xf numFmtId="0" fontId="9" fillId="5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1" fillId="5" borderId="0" xfId="0" applyNumberFormat="1" applyFont="1" applyFill="1" applyBorder="1"/>
    <x:xf numFmtId="0" fontId="11" fillId="5" borderId="0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horizontal="center" wrapText="1"/>
    </x:xf>
    <x:xf numFmtId="0" fontId="11" fillId="5" borderId="0" xfId="0" applyNumberFormat="1" applyFont="1" applyFill="1" applyBorder="1" applyAlignment="1">
      <x:alignment horizontal="center" vertical="center" wrapText="1"/>
    </x:xf>
    <x:xf numFmtId="0" fontId="1" fillId="0" borderId="15" xfId="0" applyNumberFormat="1" applyFont="1" applyFill="1" applyBorder="1"/>
    <x:xf numFmtId="0" fontId="1" fillId="0" borderId="16" xfId="0" applyNumberFormat="1" applyFont="1" applyFill="1" applyBorder="1"/>
    <x:xf numFmtId="0" fontId="1" fillId="0" borderId="17" xfId="0" applyNumberFormat="1" applyFont="1" applyFill="1" applyBorder="1"/>
    <x:xf numFmtId="0" fontId="1" fillId="0" borderId="15" xfId="0" applyNumberFormat="1" applyFont="1" applyFill="1" applyBorder="1" applyAlignment="1">
      <x:alignment horizontal="center"/>
    </x:xf>
    <x:xf numFmtId="0" fontId="1" fillId="0" borderId="16" xfId="0" applyNumberFormat="1" applyFont="1" applyFill="1" applyBorder="1" applyAlignment="1">
      <x:alignment horizontal="center"/>
    </x:xf>
    <x:xf numFmtId="0" fontId="1" fillId="0" borderId="17" xfId="0" applyNumberFormat="1" applyFont="1" applyFill="1" applyBorder="1" applyAlignment="1">
      <x:alignment horizontal="center"/>
    </x:xf>
    <x:xf numFmtId="206" fontId="1" fillId="0" borderId="15" xfId="0" applyNumberFormat="1" applyFont="1" applyFill="1" applyBorder="1"/>
    <x:xf numFmtId="206" fontId="1" fillId="0" borderId="16" xfId="0" applyNumberFormat="1" applyFont="1" applyFill="1" applyBorder="1"/>
    <x:xf numFmtId="206" fontId="1" fillId="0" borderId="17" xfId="0" applyNumberFormat="1" applyFont="1" applyFill="1" applyBorder="1"/>
    <x:xf numFmtId="203" fontId="1" fillId="0" borderId="15" xfId="0" applyNumberFormat="1" applyFont="1" applyFill="1" applyBorder="1"/>
    <x:xf numFmtId="203" fontId="1" fillId="0" borderId="16" xfId="0" applyNumberFormat="1" applyFont="1" applyFill="1" applyBorder="1"/>
    <x:xf numFmtId="203" fontId="1" fillId="0" borderId="17" xfId="0" applyNumberFormat="1" applyFont="1" applyFill="1" applyBorder="1"/>
    <x:xf numFmtId="204" fontId="1" fillId="0" borderId="15" xfId="0" applyNumberFormat="1" applyFont="1" applyFill="1" applyBorder="1"/>
    <x:xf numFmtId="204" fontId="1" fillId="0" borderId="16" xfId="0" applyNumberFormat="1" applyFont="1" applyFill="1" applyBorder="1"/>
    <x:xf numFmtId="204" fontId="1" fillId="0" borderId="17" xfId="0" applyNumberFormat="1" applyFont="1" applyFill="1" applyBorder="1"/>
    <x:xf numFmtId="207" fontId="1" fillId="0" borderId="0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207" fontId="1" fillId="0" borderId="12" xfId="0" applyNumberFormat="1" applyFont="1" applyFill="1" applyBorder="1"/>
    <x:xf numFmtId="207" fontId="1" fillId="0" borderId="13" xfId="0" applyNumberFormat="1" applyFont="1" applyFill="1" applyBorder="1"/>
    <x:xf numFmtId="207" fontId="1" fillId="0" borderId="14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2bdcc744bd4788" /><Relationship Type="http://schemas.openxmlformats.org/officeDocument/2006/relationships/theme" Target="/xl/theme/theme1.xml" Id="R69276e3238ed45bd" /><Relationship Type="http://schemas.openxmlformats.org/officeDocument/2006/relationships/sharedStrings" Target="/xl/sharedStrings.xml" Id="R3cbc0fd5e66c4f7c" /><Relationship Type="http://schemas.openxmlformats.org/officeDocument/2006/relationships/worksheet" Target="/xl/worksheets/sheet1.xml" Id="R1592add2179243a0" /><Relationship Type="http://schemas.openxmlformats.org/officeDocument/2006/relationships/worksheet" Target="/xl/worksheets/sheet2.xml" Id="R3f3853c05b9a4dc7" /><Relationship Type="http://schemas.openxmlformats.org/officeDocument/2006/relationships/worksheet" Target="/xl/worksheets/sheet3.xml" Id="R23218f3252b0437e" /><Relationship Type="http://schemas.openxmlformats.org/officeDocument/2006/relationships/worksheet" Target="/xl/worksheets/sheet4.xml" Id="R5ed281e308384b6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aeaf4fe788e45c7" /><Relationship Type="http://schemas.openxmlformats.org/officeDocument/2006/relationships/chart" Target="/xl/drawings/charts/chart2.xml" Id="R344e892b693d4c1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OCC / Three-Month Average Assets (bps)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OCC / Avg Assets (bps)</c:v>
          </c:tx>
          <c:spPr>
            <a:ln xmlns:a="http://schemas.openxmlformats.org/drawingml/2006/main" w="21431">
              <a:solidFill>
                <a:srgbClr val="2F75B5"/>
              </a:solidFill>
              <a:prstDash val="solid"/>
            </a:ln>
          </c:spPr>
          <c:marker>
            <c:symbol val="none"/>
          </c:marker>
          <c:cat>
            <c:strRef>
              <c:f>'Ratio Analysis'!$A$5:$A$64</c:f>
              <c:strCache>
                <c:ptCount val="0"/>
              </c:strCache>
            </c:strRef>
          </c:cat>
          <c:val>
            <c:numRef>
              <c:f>'Ratio Analysis'!$B$5:$B$64</c:f>
              <c:numCache>
                <c:formatCode>0.000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Full-Sample Fit</c:v>
          </c:tx>
          <c:spPr>
            <a:ln xmlns:a="http://schemas.openxmlformats.org/drawingml/2006/main" w="14288">
              <a:solidFill>
                <a:srgbClr val="7F8C8D"/>
              </a:solidFill>
              <a:prstDash val="dash"/>
            </a:ln>
          </c:spPr>
          <c:marker>
            <c:symbol val="none"/>
          </c:marker>
          <c:cat>
            <c:strRef>
              <c:f>'Ratio Analysis'!$A$5:$A$64</c:f>
              <c:strCache>
                <c:ptCount val="0"/>
              </c:strCache>
            </c:strRef>
          </c:cat>
          <c:val>
            <c:numRef>
              <c:f>'Ratio Analysis'!$C$5:$C$64</c:f>
              <c:numCache>
                <c:formatCode>0.000</c:formatCode>
                <c:ptCount val="0"/>
              </c:numCache>
            </c:numRef>
          </c:val>
          <c:smooth val="0"/>
        </c:ser>
        <c:ser>
          <c:idx val="2"/>
          <c:order val="2"/>
          <c:tx>
            <c:v>Segmented Fit</c:v>
          </c:tx>
          <c:spPr>
            <a:ln xmlns:a="http://schemas.openxmlformats.org/drawingml/2006/main" w="16669">
              <a:solidFill>
                <a:srgbClr val="ED7D31"/>
              </a:solidFill>
              <a:prstDash val="dash"/>
            </a:ln>
          </c:spPr>
          <c:marker>
            <c:symbol val="none"/>
          </c:marker>
          <c:cat>
            <c:strRef>
              <c:f>'Ratio Analysis'!$A$5:$A$64</c:f>
              <c:strCache>
                <c:ptCount val="0"/>
              </c:strCache>
            </c:strRef>
          </c:cat>
          <c:val>
            <c:numRef>
              <c:f>'Ratio Analysis'!$D$5:$D$64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4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67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Quarterly OCC per Employee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OCC / Headcount</c:v>
          </c:tx>
          <c:spPr>
            <a:ln xmlns:a="http://schemas.openxmlformats.org/drawingml/2006/main" w="21431">
              <a:solidFill>
                <a:srgbClr val="008C95"/>
              </a:solidFill>
              <a:prstDash val="solid"/>
            </a:ln>
          </c:spPr>
          <c:marker>
            <c:symbol val="none"/>
          </c:marker>
          <c:cat>
            <c:strRef>
              <c:f>'Ratio Analysis'!$F$5:$F$64</c:f>
              <c:strCache>
                <c:ptCount val="0"/>
              </c:strCache>
            </c:strRef>
          </c:cat>
          <c:val>
            <c:numRef>
              <c:f>'Ratio Analysis'!$G$5:$G$64</c:f>
              <c:numCache>
                <c:formatCode>#,##0.00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Full-Sample Fit</c:v>
          </c:tx>
          <c:spPr>
            <a:ln xmlns:a="http://schemas.openxmlformats.org/drawingml/2006/main" w="14288">
              <a:solidFill>
                <a:srgbClr val="7F8C8D"/>
              </a:solidFill>
              <a:prstDash val="dash"/>
            </a:ln>
          </c:spPr>
          <c:marker>
            <c:symbol val="none"/>
          </c:marker>
          <c:cat>
            <c:strRef>
              <c:f>'Ratio Analysis'!$F$5:$F$64</c:f>
              <c:strCache>
                <c:ptCount val="0"/>
              </c:strCache>
            </c:strRef>
          </c:cat>
          <c:val>
            <c:numRef>
              <c:f>'Ratio Analysis'!$H$5:$H$64</c:f>
              <c:numCache>
                <c:formatCode>#,##0.00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Segmented Fit</c:v>
          </c:tx>
          <c:spPr>
            <a:ln xmlns:a="http://schemas.openxmlformats.org/drawingml/2006/main" w="16669">
              <a:solidFill>
                <a:srgbClr val="ED7D31"/>
              </a:solidFill>
              <a:prstDash val="dash"/>
            </a:ln>
          </c:spPr>
          <c:marker>
            <c:symbol val="none"/>
          </c:marker>
          <c:cat>
            <c:strRef>
              <c:f>'Ratio Analysis'!$F$5:$F$64</c:f>
              <c:strCache>
                <c:ptCount val="0"/>
              </c:strCache>
            </c:strRef>
          </c:cat>
          <c:val>
            <c:numRef>
              <c:f>'Ratio Analysis'!$I$5:$I$64</c:f>
              <c:numCache>
                <c:formatCode>#,##0.00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4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67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15</xdr:row>
      <xdr:rowOff>0</xdr:rowOff>
    </xdr:from>
    <xdr:to>
      <xdr:col>19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aeaf4fe788e45c7"/>
        </a:graphicData>
      </a:graphic>
    </xdr:graphicFrame>
    <xdr:clientData/>
  </xdr:twoCellAnchor>
  <xdr:twoCellAnchor>
    <xdr:from>
      <xdr:col>11</xdr:col>
      <xdr:colOff>0</xdr:colOff>
      <xdr:row>32</xdr:row>
      <xdr:rowOff>0</xdr:rowOff>
    </xdr:from>
    <xdr:to>
      <xdr:col>19</xdr:col>
      <xdr:colOff>0</xdr:colOff>
      <xdr:row>48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4e892b693d4c1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AssetSNVTable" displayName="AssetSNVTable" ref="A1:C181" headerRowCount="1" totalsRowCount="0" totalsRowShown="0">
  <x:autoFilter ref="A1:C181"/>
  <x:tableColumns count="3">
    <x:tableColumn id="1" name="segment"/>
    <x:tableColumn id="2" name="date"/>
    <x:tableColumn id="3" name="Month_Actu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CCExpSNVTable" displayName="OCCExpSNVTable" ref="E1:G181" headerRowCount="1" totalsRowCount="0" totalsRowShown="0">
  <x:autoFilter ref="E1:G181"/>
  <x:tableColumns count="3">
    <x:tableColumn id="1" name="segment"/>
    <x:tableColumn id="2" name="date"/>
    <x:tableColumn id="3" name="Month_Actua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QuarterlyDataTable" displayName="QuarterlyDataTable" ref="A5:K65" headerRowCount="1" totalsRowCount="0" totalsRowShown="0">
  <x:autoFilter ref="A5:K65"/>
  <x:tableColumns count="11">
    <x:tableColumn id="1" name="季度"/>
    <x:tableColumn id="2" name="季度末日期"/>
    <x:tableColumn id="3" name="Asset_SNV 季度末"/>
    <x:tableColumn id="4" name="Asset_SNV 三个月平均"/>
    <x:tableColumn id="5" name="OCC_Exp_SNV 三个月合计"/>
    <x:tableColumn id="6" name="OCC_Exp_SNV 季度末（参考）"/>
    <x:tableColumn id="7" name="SNV_HC（季度末）"/>
    <x:tableColumn id="8" name="OCC合计 / 季度末Asset（bps）"/>
    <x:tableColumn id="9" name="OCC合计 / 三个月平均Asset（bps）"/>
    <x:tableColumn id="10" name="OCC合计 / HC"/>
    <x:tableColumn id="11" name="三个月平均Asset / HC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DataTable" displayName="CompDataTable" ref="A1:B61" headerRowCount="1" totalsRowCount="0" totalsRowShown="0">
  <x:autoFilter ref="A1:B61"/>
  <x:tableColumns count="2">
    <x:tableColumn id="1" name="YYYYQN"/>
    <x:tableColumn id="2" name="SNV_H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589588e26f430c" /><Relationship Type="http://schemas.openxmlformats.org/officeDocument/2006/relationships/table" Target="/xl/tables/table2.xml" Id="R5afc7da3a85f4f7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3.xml" Id="R6803242903114a8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4.xml" Id="R8e11e10bdcc44a2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f6ba2f99688242ad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8" hidden="0" customWidth="1"/>
    <x:col min="4" max="4" width="3" hidden="0" customWidth="1"/>
    <x:col min="5" max="5" width="20" hidden="0" customWidth="1"/>
    <x:col min="6" max="6" width="14" hidden="0" customWidth="1"/>
    <x:col min="7" max="7" width="18" hidden="0" customWidth="1"/>
  </x:cols>
  <x:sheetData>
    <x:row r="1" ht="24" customHeight="1">
      <x:c r="A1" s="15" t="str">
        <x:v>segment</x:v>
      </x:c>
      <x:c r="B1" s="16" t="str">
        <x:v>date</x:v>
      </x:c>
      <x:c r="C1" s="17" t="str">
        <x:v>Month_Actual</x:v>
      </x:c>
      <x:c r="E1" s="15" t="str">
        <x:v>segment</x:v>
      </x:c>
      <x:c r="F1" s="16" t="str">
        <x:v>date</x:v>
      </x:c>
      <x:c r="G1" s="17" t="str">
        <x:v>Month_Actual</x:v>
      </x:c>
    </x:row>
    <x:row r="2" ht="19" customHeight="1">
      <x:c r="A2" s="18" t="str">
        <x:v>Asset_SNV</x:v>
      </x:c>
      <x:c r="B2" s="19" t="d">
        <x:v>2011-01-31T00:00:00.000Z</x:v>
      </x:c>
      <x:c r="C2" s="20" t="n">
        <x:v>29702785055</x:v>
      </x:c>
      <x:c r="E2" s="18" t="str">
        <x:v>OCC_Exp_SNV</x:v>
      </x:c>
      <x:c r="F2" s="19" t="d">
        <x:v>2011-01-31T00:00:00.000Z</x:v>
      </x:c>
      <x:c r="G2" s="24" t="n">
        <x:v>9740544.65</x:v>
      </x:c>
    </x:row>
    <x:row r="3" ht="19" customHeight="1">
      <x:c r="A3" s="18" t="str">
        <x:v>Asset_SNV</x:v>
      </x:c>
      <x:c r="B3" s="19" t="d">
        <x:v>2011-02-28T00:00:00.000Z</x:v>
      </x:c>
      <x:c r="C3" s="20" t="n">
        <x:v>29347404011</x:v>
      </x:c>
      <x:c r="E3" s="18" t="str">
        <x:v>OCC_Exp_SNV</x:v>
      </x:c>
      <x:c r="F3" s="19" t="d">
        <x:v>2011-02-28T00:00:00.000Z</x:v>
      </x:c>
      <x:c r="G3" s="24" t="n">
        <x:v>9949774.27</x:v>
      </x:c>
    </x:row>
    <x:row r="4" ht="19" customHeight="1">
      <x:c r="A4" s="18" t="str">
        <x:v>Asset_SNV</x:v>
      </x:c>
      <x:c r="B4" s="19" t="d">
        <x:v>2011-03-31T00:00:00.000Z</x:v>
      </x:c>
      <x:c r="C4" s="20" t="n">
        <x:v>28673563987</x:v>
      </x:c>
      <x:c r="E4" s="18" t="str">
        <x:v>OCC_Exp_SNV</x:v>
      </x:c>
      <x:c r="F4" s="19" t="d">
        <x:v>2011-03-31T00:00:00.000Z</x:v>
      </x:c>
      <x:c r="G4" s="24" t="n">
        <x:v>10144156.82</x:v>
      </x:c>
    </x:row>
    <x:row r="5" ht="19" customHeight="1">
      <x:c r="A5" s="18" t="str">
        <x:v>Asset_SNV</x:v>
      </x:c>
      <x:c r="B5" s="19" t="d">
        <x:v>2011-04-30T00:00:00.000Z</x:v>
      </x:c>
      <x:c r="C5" s="20" t="n">
        <x:v>28620118401</x:v>
      </x:c>
      <x:c r="E5" s="18" t="str">
        <x:v>OCC_Exp_SNV</x:v>
      </x:c>
      <x:c r="F5" s="19" t="d">
        <x:v>2011-04-30T00:00:00.000Z</x:v>
      </x:c>
      <x:c r="G5" s="24" t="n">
        <x:v>9415861.4</x:v>
      </x:c>
    </x:row>
    <x:row r="6" ht="19" customHeight="1">
      <x:c r="A6" s="18" t="str">
        <x:v>Asset_SNV</x:v>
      </x:c>
      <x:c r="B6" s="19" t="d">
        <x:v>2011-05-31T00:00:00.000Z</x:v>
      </x:c>
      <x:c r="C6" s="20" t="n">
        <x:v>28487099512</x:v>
      </x:c>
      <x:c r="E6" s="18" t="str">
        <x:v>OCC_Exp_SNV</x:v>
      </x:c>
      <x:c r="F6" s="19" t="d">
        <x:v>2011-05-31T00:00:00.000Z</x:v>
      </x:c>
      <x:c r="G6" s="24" t="n">
        <x:v>9663446.09</x:v>
      </x:c>
    </x:row>
    <x:row r="7" ht="19" customHeight="1">
      <x:c r="A7" s="18" t="str">
        <x:v>Asset_SNV</x:v>
      </x:c>
      <x:c r="B7" s="19" t="d">
        <x:v>2011-06-30T00:00:00.000Z</x:v>
      </x:c>
      <x:c r="C7" s="20" t="n">
        <x:v>28309645903</x:v>
      </x:c>
      <x:c r="E7" s="18" t="str">
        <x:v>OCC_Exp_SNV</x:v>
      </x:c>
      <x:c r="F7" s="19" t="d">
        <x:v>2011-06-30T00:00:00.000Z</x:v>
      </x:c>
      <x:c r="G7" s="24" t="n">
        <x:v>9802970.07</x:v>
      </x:c>
    </x:row>
    <x:row r="8" ht="19" customHeight="1">
      <x:c r="A8" s="18" t="str">
        <x:v>Asset_SNV</x:v>
      </x:c>
      <x:c r="B8" s="19" t="d">
        <x:v>2011-07-31T00:00:00.000Z</x:v>
      </x:c>
      <x:c r="C8" s="20" t="n">
        <x:v>28514892922</x:v>
      </x:c>
      <x:c r="E8" s="18" t="str">
        <x:v>OCC_Exp_SNV</x:v>
      </x:c>
      <x:c r="F8" s="19" t="d">
        <x:v>2011-07-31T00:00:00.000Z</x:v>
      </x:c>
      <x:c r="G8" s="24" t="n">
        <x:v>9171991.72</x:v>
      </x:c>
    </x:row>
    <x:row r="9" ht="19" customHeight="1">
      <x:c r="A9" s="18" t="str">
        <x:v>Asset_SNV</x:v>
      </x:c>
      <x:c r="B9" s="19" t="d">
        <x:v>2011-08-31T00:00:00.000Z</x:v>
      </x:c>
      <x:c r="C9" s="20" t="n">
        <x:v>28163499255</x:v>
      </x:c>
      <x:c r="E9" s="18" t="str">
        <x:v>OCC_Exp_SNV</x:v>
      </x:c>
      <x:c r="F9" s="19" t="d">
        <x:v>2011-08-31T00:00:00.000Z</x:v>
      </x:c>
      <x:c r="G9" s="24" t="n">
        <x:v>9628710.47</x:v>
      </x:c>
    </x:row>
    <x:row r="10" ht="19" customHeight="1">
      <x:c r="A10" s="18" t="str">
        <x:v>Asset_SNV</x:v>
      </x:c>
      <x:c r="B10" s="19" t="d">
        <x:v>2011-09-30T00:00:00.000Z</x:v>
      </x:c>
      <x:c r="C10" s="20" t="n">
        <x:v>28250032786</x:v>
      </x:c>
      <x:c r="E10" s="18" t="str">
        <x:v>OCC_Exp_SNV</x:v>
      </x:c>
      <x:c r="F10" s="19" t="d">
        <x:v>2011-09-30T00:00:00.000Z</x:v>
      </x:c>
      <x:c r="G10" s="24" t="n">
        <x:v>9180728.43</x:v>
      </x:c>
    </x:row>
    <x:row r="11" ht="19" customHeight="1">
      <x:c r="A11" s="18" t="str">
        <x:v>Asset_SNV</x:v>
      </x:c>
      <x:c r="B11" s="19" t="d">
        <x:v>2011-10-31T00:00:00.000Z</x:v>
      </x:c>
      <x:c r="C11" s="20" t="n">
        <x:v>27773027447</x:v>
      </x:c>
      <x:c r="E11" s="18" t="str">
        <x:v>OCC_Exp_SNV</x:v>
      </x:c>
      <x:c r="F11" s="19" t="d">
        <x:v>2011-10-31T00:00:00.000Z</x:v>
      </x:c>
      <x:c r="G11" s="24" t="n">
        <x:v>9032989.44</x:v>
      </x:c>
    </x:row>
    <x:row r="12" ht="19" customHeight="1">
      <x:c r="A12" s="18" t="str">
        <x:v>Asset_SNV</x:v>
      </x:c>
      <x:c r="B12" s="19" t="d">
        <x:v>2011-11-30T00:00:00.000Z</x:v>
      </x:c>
      <x:c r="C12" s="20" t="n">
        <x:v>27499397561</x:v>
      </x:c>
      <x:c r="E12" s="18" t="str">
        <x:v>OCC_Exp_SNV</x:v>
      </x:c>
      <x:c r="F12" s="19" t="d">
        <x:v>2011-11-30T00:00:00.000Z</x:v>
      </x:c>
      <x:c r="G12" s="24" t="n">
        <x:v>9367584.41</x:v>
      </x:c>
    </x:row>
    <x:row r="13" ht="19" customHeight="1">
      <x:c r="A13" s="18" t="str">
        <x:v>Asset_SNV</x:v>
      </x:c>
      <x:c r="B13" s="19" t="d">
        <x:v>2011-12-31T00:00:00.000Z</x:v>
      </x:c>
      <x:c r="C13" s="20" t="n">
        <x:v>27159281995</x:v>
      </x:c>
      <x:c r="E13" s="18" t="str">
        <x:v>OCC_Exp_SNV</x:v>
      </x:c>
      <x:c r="F13" s="19" t="d">
        <x:v>2011-12-31T00:00:00.000Z</x:v>
      </x:c>
      <x:c r="G13" s="24" t="n">
        <x:v>8937839.96</x:v>
      </x:c>
    </x:row>
    <x:row r="14" ht="19" customHeight="1">
      <x:c r="A14" s="18" t="str">
        <x:v>Asset_SNV</x:v>
      </x:c>
      <x:c r="B14" s="19" t="d">
        <x:v>2012-01-31T00:00:00.000Z</x:v>
      </x:c>
      <x:c r="C14" s="20" t="n">
        <x:v>26866610341</x:v>
      </x:c>
      <x:c r="E14" s="18" t="str">
        <x:v>OCC_Exp_SNV</x:v>
      </x:c>
      <x:c r="F14" s="19" t="d">
        <x:v>2012-01-31T00:00:00.000Z</x:v>
      </x:c>
      <x:c r="G14" s="24" t="n">
        <x:v>8937667.79</x:v>
      </x:c>
    </x:row>
    <x:row r="15" ht="19" customHeight="1">
      <x:c r="A15" s="18" t="str">
        <x:v>Asset_SNV</x:v>
      </x:c>
      <x:c r="B15" s="19" t="d">
        <x:v>2012-02-29T00:00:00.000Z</x:v>
      </x:c>
      <x:c r="C15" s="20" t="n">
        <x:v>26922862822</x:v>
      </x:c>
      <x:c r="E15" s="18" t="str">
        <x:v>OCC_Exp_SNV</x:v>
      </x:c>
      <x:c r="F15" s="19" t="d">
        <x:v>2012-02-29T00:00:00.000Z</x:v>
      </x:c>
      <x:c r="G15" s="24" t="n">
        <x:v>8927577.5</x:v>
      </x:c>
    </x:row>
    <x:row r="16" ht="19" customHeight="1">
      <x:c r="A16" s="18" t="str">
        <x:v>Asset_SNV</x:v>
      </x:c>
      <x:c r="B16" s="19" t="d">
        <x:v>2012-03-31T00:00:00.000Z</x:v>
      </x:c>
      <x:c r="C16" s="20" t="n">
        <x:v>27061780794</x:v>
      </x:c>
      <x:c r="E16" s="18" t="str">
        <x:v>OCC_Exp_SNV</x:v>
      </x:c>
      <x:c r="F16" s="19" t="d">
        <x:v>2012-03-31T00:00:00.000Z</x:v>
      </x:c>
      <x:c r="G16" s="24" t="n">
        <x:v>8841066.67</x:v>
      </x:c>
    </x:row>
    <x:row r="17" ht="19" customHeight="1">
      <x:c r="A17" s="18" t="str">
        <x:v>Asset_SNV</x:v>
      </x:c>
      <x:c r="B17" s="19" t="d">
        <x:v>2012-04-30T00:00:00.000Z</x:v>
      </x:c>
      <x:c r="C17" s="20" t="n">
        <x:v>26792478845</x:v>
      </x:c>
      <x:c r="E17" s="18" t="str">
        <x:v>OCC_Exp_SNV</x:v>
      </x:c>
      <x:c r="F17" s="19" t="d">
        <x:v>2012-04-30T00:00:00.000Z</x:v>
      </x:c>
      <x:c r="G17" s="24" t="n">
        <x:v>8381377.28</x:v>
      </x:c>
    </x:row>
    <x:row r="18" ht="19" customHeight="1">
      <x:c r="A18" s="18" t="str">
        <x:v>Asset_SNV</x:v>
      </x:c>
      <x:c r="B18" s="19" t="d">
        <x:v>2012-05-31T00:00:00.000Z</x:v>
      </x:c>
      <x:c r="C18" s="20" t="n">
        <x:v>26443916263</x:v>
      </x:c>
      <x:c r="E18" s="18" t="str">
        <x:v>OCC_Exp_SNV</x:v>
      </x:c>
      <x:c r="F18" s="19" t="d">
        <x:v>2012-05-31T00:00:00.000Z</x:v>
      </x:c>
      <x:c r="G18" s="24" t="n">
        <x:v>8970911.85</x:v>
      </x:c>
    </x:row>
    <x:row r="19" ht="19" customHeight="1">
      <x:c r="A19" s="18" t="str">
        <x:v>Asset_SNV</x:v>
      </x:c>
      <x:c r="B19" s="19" t="d">
        <x:v>2012-06-30T00:00:00.000Z</x:v>
      </x:c>
      <x:c r="C19" s="20" t="n">
        <x:v>26291412010</x:v>
      </x:c>
      <x:c r="E19" s="18" t="str">
        <x:v>OCC_Exp_SNV</x:v>
      </x:c>
      <x:c r="F19" s="19" t="d">
        <x:v>2012-06-30T00:00:00.000Z</x:v>
      </x:c>
      <x:c r="G19" s="24" t="n">
        <x:v>8806412.91</x:v>
      </x:c>
    </x:row>
    <x:row r="20" ht="19" customHeight="1">
      <x:c r="A20" s="18" t="str">
        <x:v>Asset_SNV</x:v>
      </x:c>
      <x:c r="B20" s="19" t="d">
        <x:v>2012-07-31T00:00:00.000Z</x:v>
      </x:c>
      <x:c r="C20" s="20" t="n">
        <x:v>26061370206</x:v>
      </x:c>
      <x:c r="E20" s="18" t="str">
        <x:v>OCC_Exp_SNV</x:v>
      </x:c>
      <x:c r="F20" s="19" t="d">
        <x:v>2012-07-31T00:00:00.000Z</x:v>
      </x:c>
      <x:c r="G20" s="24" t="n">
        <x:v>8606697.72</x:v>
      </x:c>
    </x:row>
    <x:row r="21" ht="19" customHeight="1">
      <x:c r="A21" s="18" t="str">
        <x:v>Asset_SNV</x:v>
      </x:c>
      <x:c r="B21" s="19" t="d">
        <x:v>2012-08-31T00:00:00.000Z</x:v>
      </x:c>
      <x:c r="C21" s="20" t="n">
        <x:v>26014158791</x:v>
      </x:c>
      <x:c r="E21" s="18" t="str">
        <x:v>OCC_Exp_SNV</x:v>
      </x:c>
      <x:c r="F21" s="19" t="d">
        <x:v>2012-08-31T00:00:00.000Z</x:v>
      </x:c>
      <x:c r="G21" s="24" t="n">
        <x:v>8959405.45</x:v>
      </x:c>
    </x:row>
    <x:row r="22" ht="19" customHeight="1">
      <x:c r="A22" s="18" t="str">
        <x:v>Asset_SNV</x:v>
      </x:c>
      <x:c r="B22" s="19" t="d">
        <x:v>2012-09-30T00:00:00.000Z</x:v>
      </x:c>
      <x:c r="C22" s="20" t="n">
        <x:v>25762259183</x:v>
      </x:c>
      <x:c r="E22" s="18" t="str">
        <x:v>OCC_Exp_SNV</x:v>
      </x:c>
      <x:c r="F22" s="19" t="d">
        <x:v>2012-09-30T00:00:00.000Z</x:v>
      </x:c>
      <x:c r="G22" s="24" t="n">
        <x:v>9080901.36</x:v>
      </x:c>
    </x:row>
    <x:row r="23" ht="19" customHeight="1">
      <x:c r="A23" s="18" t="str">
        <x:v>Asset_SNV</x:v>
      </x:c>
      <x:c r="B23" s="19" t="d">
        <x:v>2012-10-31T00:00:00.000Z</x:v>
      </x:c>
      <x:c r="C23" s="20" t="n">
        <x:v>25736890080</x:v>
      </x:c>
      <x:c r="E23" s="18" t="str">
        <x:v>OCC_Exp_SNV</x:v>
      </x:c>
      <x:c r="F23" s="19" t="d">
        <x:v>2012-10-31T00:00:00.000Z</x:v>
      </x:c>
      <x:c r="G23" s="24" t="n">
        <x:v>8675076.95</x:v>
      </x:c>
    </x:row>
    <x:row r="24" ht="19" customHeight="1">
      <x:c r="A24" s="18" t="str">
        <x:v>Asset_SNV</x:v>
      </x:c>
      <x:c r="B24" s="19" t="d">
        <x:v>2012-11-30T00:00:00.000Z</x:v>
      </x:c>
      <x:c r="C24" s="20" t="n">
        <x:v>25921395545</x:v>
      </x:c>
      <x:c r="E24" s="18" t="str">
        <x:v>OCC_Exp_SNV</x:v>
      </x:c>
      <x:c r="F24" s="19" t="d">
        <x:v>2012-11-30T00:00:00.000Z</x:v>
      </x:c>
      <x:c r="G24" s="24" t="n">
        <x:v>8417651.66</x:v>
      </x:c>
    </x:row>
    <x:row r="25" ht="19" customHeight="1">
      <x:c r="A25" s="18" t="str">
        <x:v>Asset_SNV</x:v>
      </x:c>
      <x:c r="B25" s="19" t="d">
        <x:v>2012-12-31T00:00:00.000Z</x:v>
      </x:c>
      <x:c r="C25" s="20" t="n">
        <x:v>26757940403</x:v>
      </x:c>
      <x:c r="E25" s="18" t="str">
        <x:v>OCC_Exp_SNV</x:v>
      </x:c>
      <x:c r="F25" s="19" t="d">
        <x:v>2012-12-31T00:00:00.000Z</x:v>
      </x:c>
      <x:c r="G25" s="24" t="n">
        <x:v>8970435.67</x:v>
      </x:c>
    </x:row>
    <x:row r="26" ht="19" customHeight="1">
      <x:c r="A26" s="18" t="str">
        <x:v>Asset_SNV</x:v>
      </x:c>
      <x:c r="B26" s="19" t="d">
        <x:v>2013-01-31T00:00:00.000Z</x:v>
      </x:c>
      <x:c r="C26" s="20" t="n">
        <x:v>26155925661</x:v>
      </x:c>
      <x:c r="E26" s="18" t="str">
        <x:v>OCC_Exp_SNV</x:v>
      </x:c>
      <x:c r="F26" s="19" t="d">
        <x:v>2013-01-31T00:00:00.000Z</x:v>
      </x:c>
      <x:c r="G26" s="24" t="n">
        <x:v>8306988.78</x:v>
      </x:c>
    </x:row>
    <x:row r="27" ht="19" customHeight="1">
      <x:c r="A27" s="18" t="str">
        <x:v>Asset_SNV</x:v>
      </x:c>
      <x:c r="B27" s="19" t="d">
        <x:v>2013-02-28T00:00:00.000Z</x:v>
      </x:c>
      <x:c r="C27" s="20" t="n">
        <x:v>26107414816</x:v>
      </x:c>
      <x:c r="E27" s="18" t="str">
        <x:v>OCC_Exp_SNV</x:v>
      </x:c>
      <x:c r="F27" s="19" t="d">
        <x:v>2013-02-28T00:00:00.000Z</x:v>
      </x:c>
      <x:c r="G27" s="24" t="n">
        <x:v>8350408.17</x:v>
      </x:c>
    </x:row>
    <x:row r="28" ht="19" customHeight="1">
      <x:c r="A28" s="18" t="str">
        <x:v>Asset_SNV</x:v>
      </x:c>
      <x:c r="B28" s="19" t="d">
        <x:v>2013-03-31T00:00:00.000Z</x:v>
      </x:c>
      <x:c r="C28" s="20" t="n">
        <x:v>26211111572</x:v>
      </x:c>
      <x:c r="E28" s="18" t="str">
        <x:v>OCC_Exp_SNV</x:v>
      </x:c>
      <x:c r="F28" s="19" t="d">
        <x:v>2013-03-31T00:00:00.000Z</x:v>
      </x:c>
      <x:c r="G28" s="24" t="n">
        <x:v>7509561.89</x:v>
      </x:c>
    </x:row>
    <x:row r="29" ht="19" customHeight="1">
      <x:c r="A29" s="18" t="str">
        <x:v>Asset_SNV</x:v>
      </x:c>
      <x:c r="B29" s="19" t="d">
        <x:v>2013-04-30T00:00:00.000Z</x:v>
      </x:c>
      <x:c r="C29" s="20" t="n">
        <x:v>26239440692</x:v>
      </x:c>
      <x:c r="E29" s="18" t="str">
        <x:v>OCC_Exp_SNV</x:v>
      </x:c>
      <x:c r="F29" s="19" t="d">
        <x:v>2013-04-30T00:00:00.000Z</x:v>
      </x:c>
      <x:c r="G29" s="24" t="n">
        <x:v>9612339.27</x:v>
      </x:c>
    </x:row>
    <x:row r="30" ht="19" customHeight="1">
      <x:c r="A30" s="18" t="str">
        <x:v>Asset_SNV</x:v>
      </x:c>
      <x:c r="B30" s="19" t="d">
        <x:v>2013-05-31T00:00:00.000Z</x:v>
      </x:c>
      <x:c r="C30" s="20" t="n">
        <x:v>26691486722</x:v>
      </x:c>
      <x:c r="E30" s="18" t="str">
        <x:v>OCC_Exp_SNV</x:v>
      </x:c>
      <x:c r="F30" s="19" t="d">
        <x:v>2013-05-31T00:00:00.000Z</x:v>
      </x:c>
      <x:c r="G30" s="24" t="n">
        <x:v>8217126.51</x:v>
      </x:c>
    </x:row>
    <x:row r="31" ht="19" customHeight="1">
      <x:c r="A31" s="18" t="str">
        <x:v>Asset_SNV</x:v>
      </x:c>
      <x:c r="B31" s="19" t="d">
        <x:v>2013-06-30T00:00:00.000Z</x:v>
      </x:c>
      <x:c r="C31" s="20" t="n">
        <x:v>26561572699</x:v>
      </x:c>
      <x:c r="E31" s="18" t="str">
        <x:v>OCC_Exp_SNV</x:v>
      </x:c>
      <x:c r="F31" s="19" t="d">
        <x:v>2013-06-30T00:00:00.000Z</x:v>
      </x:c>
      <x:c r="G31" s="24" t="n">
        <x:v>8553385.43</x:v>
      </x:c>
    </x:row>
    <x:row r="32" ht="19" customHeight="1">
      <x:c r="A32" s="18" t="str">
        <x:v>Asset_SNV</x:v>
      </x:c>
      <x:c r="B32" s="19" t="d">
        <x:v>2013-07-31T00:00:00.000Z</x:v>
      </x:c>
      <x:c r="C32" s="20" t="n">
        <x:v>26040510816</x:v>
      </x:c>
      <x:c r="E32" s="18" t="str">
        <x:v>OCC_Exp_SNV</x:v>
      </x:c>
      <x:c r="F32" s="19" t="d">
        <x:v>2013-07-31T00:00:00.000Z</x:v>
      </x:c>
      <x:c r="G32" s="24" t="n">
        <x:v>8930595.91</x:v>
      </x:c>
    </x:row>
    <x:row r="33" ht="19" customHeight="1">
      <x:c r="A33" s="18" t="str">
        <x:v>Asset_SNV</x:v>
      </x:c>
      <x:c r="B33" s="19" t="d">
        <x:v>2013-08-31T00:00:00.000Z</x:v>
      </x:c>
      <x:c r="C33" s="20" t="n">
        <x:v>26205751501</x:v>
      </x:c>
      <x:c r="E33" s="18" t="str">
        <x:v>OCC_Exp_SNV</x:v>
      </x:c>
      <x:c r="F33" s="19" t="d">
        <x:v>2013-08-31T00:00:00.000Z</x:v>
      </x:c>
      <x:c r="G33" s="24" t="n">
        <x:v>8940529.6</x:v>
      </x:c>
    </x:row>
    <x:row r="34" ht="19" customHeight="1">
      <x:c r="A34" s="18" t="str">
        <x:v>Asset_SNV</x:v>
      </x:c>
      <x:c r="B34" s="19" t="d">
        <x:v>2013-09-30T00:00:00.000Z</x:v>
      </x:c>
      <x:c r="C34" s="20" t="n">
        <x:v>26216859425</x:v>
      </x:c>
      <x:c r="E34" s="18" t="str">
        <x:v>OCC_Exp_SNV</x:v>
      </x:c>
      <x:c r="F34" s="19" t="d">
        <x:v>2013-09-30T00:00:00.000Z</x:v>
      </x:c>
      <x:c r="G34" s="24" t="n">
        <x:v>8603976.18</x:v>
      </x:c>
    </x:row>
    <x:row r="35" ht="19" customHeight="1">
      <x:c r="A35" s="18" t="str">
        <x:v>Asset_SNV</x:v>
      </x:c>
      <x:c r="B35" s="19" t="d">
        <x:v>2013-10-31T00:00:00.000Z</x:v>
      </x:c>
      <x:c r="C35" s="20" t="n">
        <x:v>26329430482</x:v>
      </x:c>
      <x:c r="E35" s="18" t="str">
        <x:v>OCC_Exp_SNV</x:v>
      </x:c>
      <x:c r="F35" s="19" t="d">
        <x:v>2013-10-31T00:00:00.000Z</x:v>
      </x:c>
      <x:c r="G35" s="24" t="n">
        <x:v>8850341.56</x:v>
      </x:c>
    </x:row>
    <x:row r="36" ht="19" customHeight="1">
      <x:c r="A36" s="18" t="str">
        <x:v>Asset_SNV</x:v>
      </x:c>
      <x:c r="B36" s="19" t="d">
        <x:v>2013-11-30T00:00:00.000Z</x:v>
      </x:c>
      <x:c r="C36" s="20" t="n">
        <x:v>26422790191</x:v>
      </x:c>
      <x:c r="E36" s="18" t="str">
        <x:v>OCC_Exp_SNV</x:v>
      </x:c>
      <x:c r="F36" s="19" t="d">
        <x:v>2013-11-30T00:00:00.000Z</x:v>
      </x:c>
      <x:c r="G36" s="24" t="n">
        <x:v>8778205.58</x:v>
      </x:c>
    </x:row>
    <x:row r="37" ht="19" customHeight="1">
      <x:c r="A37" s="18" t="str">
        <x:v>Asset_SNV</x:v>
      </x:c>
      <x:c r="B37" s="19" t="d">
        <x:v>2013-12-31T00:00:00.000Z</x:v>
      </x:c>
      <x:c r="C37" s="20" t="n">
        <x:v>26200204774</x:v>
      </x:c>
      <x:c r="E37" s="18" t="str">
        <x:v>OCC_Exp_SNV</x:v>
      </x:c>
      <x:c r="F37" s="19" t="d">
        <x:v>2013-12-31T00:00:00.000Z</x:v>
      </x:c>
      <x:c r="G37" s="24" t="n">
        <x:v>8685196.17</x:v>
      </x:c>
    </x:row>
    <x:row r="38" ht="19" customHeight="1">
      <x:c r="A38" s="18" t="str">
        <x:v>Asset_SNV</x:v>
      </x:c>
      <x:c r="B38" s="19" t="d">
        <x:v>2014-01-31T00:00:00.000Z</x:v>
      </x:c>
      <x:c r="C38" s="20" t="n">
        <x:v>26144861390</x:v>
      </x:c>
      <x:c r="E38" s="18" t="str">
        <x:v>OCC_Exp_SNV</x:v>
      </x:c>
      <x:c r="F38" s="19" t="d">
        <x:v>2014-01-31T00:00:00.000Z</x:v>
      </x:c>
      <x:c r="G38" s="24" t="n">
        <x:v>8612959.41</x:v>
      </x:c>
    </x:row>
    <x:row r="39" ht="19" customHeight="1">
      <x:c r="A39" s="18" t="str">
        <x:v>Asset_SNV</x:v>
      </x:c>
      <x:c r="B39" s="19" t="d">
        <x:v>2014-02-28T00:00:00.000Z</x:v>
      </x:c>
      <x:c r="C39" s="20" t="n">
        <x:v>26392391932</x:v>
      </x:c>
      <x:c r="E39" s="18" t="str">
        <x:v>OCC_Exp_SNV</x:v>
      </x:c>
      <x:c r="F39" s="19" t="d">
        <x:v>2014-02-28T00:00:00.000Z</x:v>
      </x:c>
      <x:c r="G39" s="24" t="n">
        <x:v>8455918.99</x:v>
      </x:c>
    </x:row>
    <x:row r="40" ht="19" customHeight="1">
      <x:c r="A40" s="18" t="str">
        <x:v>Asset_SNV</x:v>
      </x:c>
      <x:c r="B40" s="19" t="d">
        <x:v>2014-03-31T00:00:00.000Z</x:v>
      </x:c>
      <x:c r="C40" s="20" t="n">
        <x:v>26434128184</x:v>
      </x:c>
      <x:c r="E40" s="18" t="str">
        <x:v>OCC_Exp_SNV</x:v>
      </x:c>
      <x:c r="F40" s="19" t="d">
        <x:v>2014-03-31T00:00:00.000Z</x:v>
      </x:c>
      <x:c r="G40" s="24" t="n">
        <x:v>8986673.7</x:v>
      </x:c>
    </x:row>
    <x:row r="41" ht="19" customHeight="1">
      <x:c r="A41" s="18" t="str">
        <x:v>Asset_SNV</x:v>
      </x:c>
      <x:c r="B41" s="19" t="d">
        <x:v>2014-04-30T00:00:00.000Z</x:v>
      </x:c>
      <x:c r="C41" s="20" t="n">
        <x:v>26366740349</x:v>
      </x:c>
      <x:c r="E41" s="18" t="str">
        <x:v>OCC_Exp_SNV</x:v>
      </x:c>
      <x:c r="F41" s="19" t="d">
        <x:v>2014-04-30T00:00:00.000Z</x:v>
      </x:c>
      <x:c r="G41" s="24" t="n">
        <x:v>8790050.77</x:v>
      </x:c>
    </x:row>
    <x:row r="42" ht="19" customHeight="1">
      <x:c r="A42" s="18" t="str">
        <x:v>Asset_SNV</x:v>
      </x:c>
      <x:c r="B42" s="19" t="d">
        <x:v>2014-05-31T00:00:00.000Z</x:v>
      </x:c>
      <x:c r="C42" s="20" t="n">
        <x:v>26511795637</x:v>
      </x:c>
      <x:c r="E42" s="18" t="str">
        <x:v>OCC_Exp_SNV</x:v>
      </x:c>
      <x:c r="F42" s="19" t="d">
        <x:v>2014-05-31T00:00:00.000Z</x:v>
      </x:c>
      <x:c r="G42" s="24" t="n">
        <x:v>8700053.14</x:v>
      </x:c>
    </x:row>
    <x:row r="43" ht="19" customHeight="1">
      <x:c r="A43" s="18" t="str">
        <x:v>Asset_SNV</x:v>
      </x:c>
      <x:c r="B43" s="19" t="d">
        <x:v>2014-06-30T00:00:00.000Z</x:v>
      </x:c>
      <x:c r="C43" s="20" t="n">
        <x:v>26626093130</x:v>
      </x:c>
      <x:c r="E43" s="18" t="str">
        <x:v>OCC_Exp_SNV</x:v>
      </x:c>
      <x:c r="F43" s="19" t="d">
        <x:v>2014-06-30T00:00:00.000Z</x:v>
      </x:c>
      <x:c r="G43" s="24" t="n">
        <x:v>8934449.88</x:v>
      </x:c>
    </x:row>
    <x:row r="44" ht="19" customHeight="1">
      <x:c r="A44" s="18" t="str">
        <x:v>Asset_SNV</x:v>
      </x:c>
      <x:c r="B44" s="19" t="d">
        <x:v>2014-07-31T00:00:00.000Z</x:v>
      </x:c>
      <x:c r="C44" s="20" t="n">
        <x:v>26495295177</x:v>
      </x:c>
      <x:c r="E44" s="18" t="str">
        <x:v>OCC_Exp_SNV</x:v>
      </x:c>
      <x:c r="F44" s="19" t="d">
        <x:v>2014-07-31T00:00:00.000Z</x:v>
      </x:c>
      <x:c r="G44" s="24" t="n">
        <x:v>9201607.55</x:v>
      </x:c>
    </x:row>
    <x:row r="45" ht="19" customHeight="1">
      <x:c r="A45" s="18" t="str">
        <x:v>Asset_SNV</x:v>
      </x:c>
      <x:c r="B45" s="19" t="d">
        <x:v>2014-08-31T00:00:00.000Z</x:v>
      </x:c>
      <x:c r="C45" s="20" t="n">
        <x:v>26665800864</x:v>
      </x:c>
      <x:c r="E45" s="18" t="str">
        <x:v>OCC_Exp_SNV</x:v>
      </x:c>
      <x:c r="F45" s="19" t="d">
        <x:v>2014-08-31T00:00:00.000Z</x:v>
      </x:c>
      <x:c r="G45" s="24" t="n">
        <x:v>9011369.7</x:v>
      </x:c>
    </x:row>
    <x:row r="46" ht="19" customHeight="1">
      <x:c r="A46" s="18" t="str">
        <x:v>Asset_SNV</x:v>
      </x:c>
      <x:c r="B46" s="19" t="d">
        <x:v>2014-09-30T00:00:00.000Z</x:v>
      </x:c>
      <x:c r="C46" s="20" t="n">
        <x:v>26518013907</x:v>
      </x:c>
      <x:c r="E46" s="18" t="str">
        <x:v>OCC_Exp_SNV</x:v>
      </x:c>
      <x:c r="F46" s="19" t="d">
        <x:v>2014-09-30T00:00:00.000Z</x:v>
      </x:c>
      <x:c r="G46" s="24" t="n">
        <x:v>8742801.52</x:v>
      </x:c>
    </x:row>
    <x:row r="47" ht="19" customHeight="1">
      <x:c r="A47" s="18" t="str">
        <x:v>Asset_SNV</x:v>
      </x:c>
      <x:c r="B47" s="19" t="d">
        <x:v>2014-10-31T00:00:00.000Z</x:v>
      </x:c>
      <x:c r="C47" s="20" t="n">
        <x:v>26690223484</x:v>
      </x:c>
      <x:c r="E47" s="18" t="str">
        <x:v>OCC_Exp_SNV</x:v>
      </x:c>
      <x:c r="F47" s="19" t="d">
        <x:v>2014-10-31T00:00:00.000Z</x:v>
      </x:c>
      <x:c r="G47" s="24" t="n">
        <x:v>9357684.51</x:v>
      </x:c>
    </x:row>
    <x:row r="48" ht="19" customHeight="1">
      <x:c r="A48" s="18" t="str">
        <x:v>Asset_SNV</x:v>
      </x:c>
      <x:c r="B48" s="19" t="d">
        <x:v>2014-11-30T00:00:00.000Z</x:v>
      </x:c>
      <x:c r="C48" s="20" t="n">
        <x:v>26651804470</x:v>
      </x:c>
      <x:c r="E48" s="18" t="str">
        <x:v>OCC_Exp_SNV</x:v>
      </x:c>
      <x:c r="F48" s="19" t="d">
        <x:v>2014-11-30T00:00:00.000Z</x:v>
      </x:c>
      <x:c r="G48" s="24" t="n">
        <x:v>8769422.71</x:v>
      </x:c>
    </x:row>
    <x:row r="49" ht="19" customHeight="1">
      <x:c r="A49" s="18" t="str">
        <x:v>Asset_SNV</x:v>
      </x:c>
      <x:c r="B49" s="19" t="d">
        <x:v>2014-12-31T00:00:00.000Z</x:v>
      </x:c>
      <x:c r="C49" s="20" t="n">
        <x:v>27050236595</x:v>
      </x:c>
      <x:c r="E49" s="18" t="str">
        <x:v>OCC_Exp_SNV</x:v>
      </x:c>
      <x:c r="F49" s="19" t="d">
        <x:v>2014-12-31T00:00:00.000Z</x:v>
      </x:c>
      <x:c r="G49" s="24" t="n">
        <x:v>8242930.04</x:v>
      </x:c>
    </x:row>
    <x:row r="50" ht="19" customHeight="1">
      <x:c r="A50" s="18" t="str">
        <x:v>Asset_SNV</x:v>
      </x:c>
      <x:c r="B50" s="19" t="d">
        <x:v>2015-01-31T00:00:00.000Z</x:v>
      </x:c>
      <x:c r="C50" s="20" t="n">
        <x:v>27170385054</x:v>
      </x:c>
      <x:c r="E50" s="18" t="str">
        <x:v>OCC_Exp_SNV</x:v>
      </x:c>
      <x:c r="F50" s="19" t="d">
        <x:v>2015-01-31T00:00:00.000Z</x:v>
      </x:c>
      <x:c r="G50" s="24" t="n">
        <x:v>8738368.61</x:v>
      </x:c>
    </x:row>
    <x:row r="51" ht="19" customHeight="1">
      <x:c r="A51" s="18" t="str">
        <x:v>Asset_SNV</x:v>
      </x:c>
      <x:c r="B51" s="19" t="d">
        <x:v>2015-02-28T00:00:00.000Z</x:v>
      </x:c>
      <x:c r="C51" s="20" t="n">
        <x:v>27468200428</x:v>
      </x:c>
      <x:c r="E51" s="18" t="str">
        <x:v>OCC_Exp_SNV</x:v>
      </x:c>
      <x:c r="F51" s="19" t="d">
        <x:v>2015-02-28T00:00:00.000Z</x:v>
      </x:c>
      <x:c r="G51" s="24" t="n">
        <x:v>8821182.78</x:v>
      </x:c>
    </x:row>
    <x:row r="52" ht="19" customHeight="1">
      <x:c r="A52" s="18" t="str">
        <x:v>Asset_SNV</x:v>
      </x:c>
      <x:c r="B52" s="19" t="d">
        <x:v>2015-03-31T00:00:00.000Z</x:v>
      </x:c>
      <x:c r="C52" s="20" t="n">
        <x:v>27632890436</x:v>
      </x:c>
      <x:c r="E52" s="18" t="str">
        <x:v>OCC_Exp_SNV</x:v>
      </x:c>
      <x:c r="F52" s="19" t="d">
        <x:v>2015-03-31T00:00:00.000Z</x:v>
      </x:c>
      <x:c r="G52" s="24" t="n">
        <x:v>8612626.2</x:v>
      </x:c>
    </x:row>
    <x:row r="53" ht="19" customHeight="1">
      <x:c r="A53" s="18" t="str">
        <x:v>Asset_SNV</x:v>
      </x:c>
      <x:c r="B53" s="19" t="d">
        <x:v>2015-04-30T00:00:00.000Z</x:v>
      </x:c>
      <x:c r="C53" s="20" t="n">
        <x:v>27747669805</x:v>
      </x:c>
      <x:c r="E53" s="18" t="str">
        <x:v>OCC_Exp_SNV</x:v>
      </x:c>
      <x:c r="F53" s="19" t="d">
        <x:v>2015-04-30T00:00:00.000Z</x:v>
      </x:c>
      <x:c r="G53" s="24" t="n">
        <x:v>8670990.68</x:v>
      </x:c>
    </x:row>
    <x:row r="54" ht="19" customHeight="1">
      <x:c r="A54" s="18" t="str">
        <x:v>Asset_SNV</x:v>
      </x:c>
      <x:c r="B54" s="19" t="d">
        <x:v>2015-05-31T00:00:00.000Z</x:v>
      </x:c>
      <x:c r="C54" s="20" t="n">
        <x:v>28207695949</x:v>
      </x:c>
      <x:c r="E54" s="18" t="str">
        <x:v>OCC_Exp_SNV</x:v>
      </x:c>
      <x:c r="F54" s="19" t="d">
        <x:v>2015-05-31T00:00:00.000Z</x:v>
      </x:c>
      <x:c r="G54" s="24" t="n">
        <x:v>8686250.29</x:v>
      </x:c>
    </x:row>
    <x:row r="55" ht="19" customHeight="1">
      <x:c r="A55" s="18" t="str">
        <x:v>Asset_SNV</x:v>
      </x:c>
      <x:c r="B55" s="19" t="d">
        <x:v>2015-06-30T00:00:00.000Z</x:v>
      </x:c>
      <x:c r="C55" s="20" t="n">
        <x:v>28205078255</x:v>
      </x:c>
      <x:c r="E55" s="18" t="str">
        <x:v>OCC_Exp_SNV</x:v>
      </x:c>
      <x:c r="F55" s="19" t="d">
        <x:v>2015-06-30T00:00:00.000Z</x:v>
      </x:c>
      <x:c r="G55" s="24" t="n">
        <x:v>9183591.19</x:v>
      </x:c>
    </x:row>
    <x:row r="56" ht="19" customHeight="1">
      <x:c r="A56" s="18" t="str">
        <x:v>Asset_SNV</x:v>
      </x:c>
      <x:c r="B56" s="19" t="d">
        <x:v>2015-07-31T00:00:00.000Z</x:v>
      </x:c>
      <x:c r="C56" s="20" t="n">
        <x:v>28382832082</x:v>
      </x:c>
      <x:c r="E56" s="18" t="str">
        <x:v>OCC_Exp_SNV</x:v>
      </x:c>
      <x:c r="F56" s="19" t="d">
        <x:v>2015-07-31T00:00:00.000Z</x:v>
      </x:c>
      <x:c r="G56" s="24" t="n">
        <x:v>8886712.59</x:v>
      </x:c>
    </x:row>
    <x:row r="57" ht="19" customHeight="1">
      <x:c r="A57" s="18" t="str">
        <x:v>Asset_SNV</x:v>
      </x:c>
      <x:c r="B57" s="19" t="d">
        <x:v>2015-08-31T00:00:00.000Z</x:v>
      </x:c>
      <x:c r="C57" s="20" t="n">
        <x:v>28470982536</x:v>
      </x:c>
      <x:c r="E57" s="18" t="str">
        <x:v>OCC_Exp_SNV</x:v>
      </x:c>
      <x:c r="F57" s="19" t="d">
        <x:v>2015-08-31T00:00:00.000Z</x:v>
      </x:c>
      <x:c r="G57" s="24" t="n">
        <x:v>8984474.68</x:v>
      </x:c>
    </x:row>
    <x:row r="58" ht="19" customHeight="1">
      <x:c r="A58" s="18" t="str">
        <x:v>Asset_SNV</x:v>
      </x:c>
      <x:c r="B58" s="19" t="d">
        <x:v>2015-09-30T00:00:00.000Z</x:v>
      </x:c>
      <x:c r="C58" s="20" t="n">
        <x:v>28167135497</x:v>
      </x:c>
      <x:c r="E58" s="18" t="str">
        <x:v>OCC_Exp_SNV</x:v>
      </x:c>
      <x:c r="F58" s="19" t="d">
        <x:v>2015-09-30T00:00:00.000Z</x:v>
      </x:c>
      <x:c r="G58" s="24" t="n">
        <x:v>9065482.4</x:v>
      </x:c>
    </x:row>
    <x:row r="59" ht="19" customHeight="1">
      <x:c r="A59" s="18" t="str">
        <x:v>Asset_SNV</x:v>
      </x:c>
      <x:c r="B59" s="19" t="d">
        <x:v>2015-10-31T00:00:00.000Z</x:v>
      </x:c>
      <x:c r="C59" s="20" t="n">
        <x:v>28484497250</x:v>
      </x:c>
      <x:c r="E59" s="18" t="str">
        <x:v>OCC_Exp_SNV</x:v>
      </x:c>
      <x:c r="F59" s="19" t="d">
        <x:v>2015-10-31T00:00:00.000Z</x:v>
      </x:c>
      <x:c r="G59" s="24" t="n">
        <x:v>8661166.88</x:v>
      </x:c>
    </x:row>
    <x:row r="60" ht="19" customHeight="1">
      <x:c r="A60" s="18" t="str">
        <x:v>Asset_SNV</x:v>
      </x:c>
      <x:c r="B60" s="19" t="d">
        <x:v>2015-11-30T00:00:00.000Z</x:v>
      </x:c>
      <x:c r="C60" s="20" t="n">
        <x:v>28728739212</x:v>
      </x:c>
      <x:c r="E60" s="18" t="str">
        <x:v>OCC_Exp_SNV</x:v>
      </x:c>
      <x:c r="F60" s="19" t="d">
        <x:v>2015-11-30T00:00:00.000Z</x:v>
      </x:c>
      <x:c r="G60" s="24" t="n">
        <x:v>8809500.61</x:v>
      </x:c>
    </x:row>
    <x:row r="61" ht="19" customHeight="1">
      <x:c r="A61" s="18" t="str">
        <x:v>Asset_SNV</x:v>
      </x:c>
      <x:c r="B61" s="19" t="d">
        <x:v>2015-12-31T00:00:00.000Z</x:v>
      </x:c>
      <x:c r="C61" s="20" t="n">
        <x:v>28792653280</x:v>
      </x:c>
      <x:c r="E61" s="18" t="str">
        <x:v>OCC_Exp_SNV</x:v>
      </x:c>
      <x:c r="F61" s="19" t="d">
        <x:v>2015-12-31T00:00:00.000Z</x:v>
      </x:c>
      <x:c r="G61" s="24" t="n">
        <x:v>10345455.37</x:v>
      </x:c>
    </x:row>
    <x:row r="62" ht="19" customHeight="1">
      <x:c r="A62" s="18" t="str">
        <x:v>Asset_SNV</x:v>
      </x:c>
      <x:c r="B62" s="19" t="d">
        <x:v>2016-01-31T00:00:00.000Z</x:v>
      </x:c>
      <x:c r="C62" s="20" t="n">
        <x:v>28758216847</x:v>
      </x:c>
      <x:c r="E62" s="18" t="str">
        <x:v>OCC_Exp_SNV</x:v>
      </x:c>
      <x:c r="F62" s="19" t="d">
        <x:v>2016-01-31T00:00:00.000Z</x:v>
      </x:c>
      <x:c r="G62" s="24" t="n">
        <x:v>8461301.42</x:v>
      </x:c>
    </x:row>
    <x:row r="63" ht="19" customHeight="1">
      <x:c r="A63" s="18" t="str">
        <x:v>Asset_SNV</x:v>
      </x:c>
      <x:c r="B63" s="19" t="d">
        <x:v>2016-02-29T00:00:00.000Z</x:v>
      </x:c>
      <x:c r="C63" s="20" t="n">
        <x:v>29195585069</x:v>
      </x:c>
      <x:c r="E63" s="18" t="str">
        <x:v>OCC_Exp_SNV</x:v>
      </x:c>
      <x:c r="F63" s="19" t="d">
        <x:v>2016-02-29T00:00:00.000Z</x:v>
      </x:c>
      <x:c r="G63" s="24" t="n">
        <x:v>8685336.21</x:v>
      </x:c>
    </x:row>
    <x:row r="64" ht="19" customHeight="1">
      <x:c r="A64" s="18" t="str">
        <x:v>Asset_SNV</x:v>
      </x:c>
      <x:c r="B64" s="19" t="d">
        <x:v>2016-03-31T00:00:00.000Z</x:v>
      </x:c>
      <x:c r="C64" s="20" t="n">
        <x:v>29171256674</x:v>
      </x:c>
      <x:c r="E64" s="18" t="str">
        <x:v>OCC_Exp_SNV</x:v>
      </x:c>
      <x:c r="F64" s="19" t="d">
        <x:v>2016-03-31T00:00:00.000Z</x:v>
      </x:c>
      <x:c r="G64" s="24" t="n">
        <x:v>9430023.23</x:v>
      </x:c>
    </x:row>
    <x:row r="65" ht="19" customHeight="1">
      <x:c r="A65" s="18" t="str">
        <x:v>Asset_SNV</x:v>
      </x:c>
      <x:c r="B65" s="19" t="d">
        <x:v>2016-04-30T00:00:00.000Z</x:v>
      </x:c>
      <x:c r="C65" s="20" t="n">
        <x:v>29200542323</x:v>
      </x:c>
      <x:c r="E65" s="18" t="str">
        <x:v>OCC_Exp_SNV</x:v>
      </x:c>
      <x:c r="F65" s="19" t="d">
        <x:v>2016-04-30T00:00:00.000Z</x:v>
      </x:c>
      <x:c r="G65" s="24" t="n">
        <x:v>8867241.89</x:v>
      </x:c>
    </x:row>
    <x:row r="66" ht="19" customHeight="1">
      <x:c r="A66" s="18" t="str">
        <x:v>Asset_SNV</x:v>
      </x:c>
      <x:c r="B66" s="19" t="d">
        <x:v>2016-05-31T00:00:00.000Z</x:v>
      </x:c>
      <x:c r="C66" s="20" t="n">
        <x:v>29467058792</x:v>
      </x:c>
      <x:c r="E66" s="18" t="str">
        <x:v>OCC_Exp_SNV</x:v>
      </x:c>
      <x:c r="F66" s="19" t="d">
        <x:v>2016-05-31T00:00:00.000Z</x:v>
      </x:c>
      <x:c r="G66" s="24" t="n">
        <x:v>9072680.28</x:v>
      </x:c>
    </x:row>
    <x:row r="67" ht="19" customHeight="1">
      <x:c r="A67" s="18" t="str">
        <x:v>Asset_SNV</x:v>
      </x:c>
      <x:c r="B67" s="19" t="d">
        <x:v>2016-06-30T00:00:00.000Z</x:v>
      </x:c>
      <x:c r="C67" s="20" t="n">
        <x:v>29459691178</x:v>
      </x:c>
      <x:c r="E67" s="18" t="str">
        <x:v>OCC_Exp_SNV</x:v>
      </x:c>
      <x:c r="F67" s="19" t="d">
        <x:v>2016-06-30T00:00:00.000Z</x:v>
      </x:c>
      <x:c r="G67" s="24" t="n">
        <x:v>8842899.39</x:v>
      </x:c>
    </x:row>
    <x:row r="68" ht="19" customHeight="1">
      <x:c r="A68" s="18" t="str">
        <x:v>Asset_SNV</x:v>
      </x:c>
      <x:c r="B68" s="19" t="d">
        <x:v>2016-07-31T00:00:00.000Z</x:v>
      </x:c>
      <x:c r="C68" s="20" t="n">
        <x:v>29419671256</x:v>
      </x:c>
      <x:c r="E68" s="18" t="str">
        <x:v>OCC_Exp_SNV</x:v>
      </x:c>
      <x:c r="F68" s="19" t="d">
        <x:v>2016-07-31T00:00:00.000Z</x:v>
      </x:c>
      <x:c r="G68" s="24" t="n">
        <x:v>8834073.58</x:v>
      </x:c>
    </x:row>
    <x:row r="69" ht="19" customHeight="1">
      <x:c r="A69" s="18" t="str">
        <x:v>Asset_SNV</x:v>
      </x:c>
      <x:c r="B69" s="19" t="d">
        <x:v>2016-08-31T00:00:00.000Z</x:v>
      </x:c>
      <x:c r="C69" s="20" t="n">
        <x:v>29533254810</x:v>
      </x:c>
      <x:c r="E69" s="18" t="str">
        <x:v>OCC_Exp_SNV</x:v>
      </x:c>
      <x:c r="F69" s="19" t="d">
        <x:v>2016-08-31T00:00:00.000Z</x:v>
      </x:c>
      <x:c r="G69" s="24" t="n">
        <x:v>9916830.2</x:v>
      </x:c>
    </x:row>
    <x:row r="70" ht="19" customHeight="1">
      <x:c r="A70" s="18" t="str">
        <x:v>Asset_SNV</x:v>
      </x:c>
      <x:c r="B70" s="19" t="d">
        <x:v>2016-09-30T00:00:00.000Z</x:v>
      </x:c>
      <x:c r="C70" s="20" t="n">
        <x:v>29727095988</x:v>
      </x:c>
      <x:c r="E70" s="18" t="str">
        <x:v>OCC_Exp_SNV</x:v>
      </x:c>
      <x:c r="F70" s="19" t="d">
        <x:v>2016-09-30T00:00:00.000Z</x:v>
      </x:c>
      <x:c r="G70" s="24" t="n">
        <x:v>9369119.04</x:v>
      </x:c>
    </x:row>
    <x:row r="71" ht="19" customHeight="1">
      <x:c r="A71" s="18" t="str">
        <x:v>Asset_SNV</x:v>
      </x:c>
      <x:c r="B71" s="19" t="d">
        <x:v>2016-10-31T00:00:00.000Z</x:v>
      </x:c>
      <x:c r="C71" s="20" t="n">
        <x:v>30102987529</x:v>
      </x:c>
      <x:c r="E71" s="18" t="str">
        <x:v>OCC_Exp_SNV</x:v>
      </x:c>
      <x:c r="F71" s="19" t="d">
        <x:v>2016-10-31T00:00:00.000Z</x:v>
      </x:c>
      <x:c r="G71" s="24" t="n">
        <x:v>9347625.09</x:v>
      </x:c>
    </x:row>
    <x:row r="72" ht="19" customHeight="1">
      <x:c r="A72" s="18" t="str">
        <x:v>Asset_SNV</x:v>
      </x:c>
      <x:c r="B72" s="19" t="d">
        <x:v>2016-11-30T00:00:00.000Z</x:v>
      </x:c>
      <x:c r="C72" s="20" t="n">
        <x:v>30441467490</x:v>
      </x:c>
      <x:c r="E72" s="18" t="str">
        <x:v>OCC_Exp_SNV</x:v>
      </x:c>
      <x:c r="F72" s="19" t="d">
        <x:v>2016-11-30T00:00:00.000Z</x:v>
      </x:c>
      <x:c r="G72" s="24" t="n">
        <x:v>9343362.17</x:v>
      </x:c>
    </x:row>
    <x:row r="73" ht="19" customHeight="1">
      <x:c r="A73" s="18" t="str">
        <x:v>Asset_SNV</x:v>
      </x:c>
      <x:c r="B73" s="19" t="d">
        <x:v>2016-12-31T00:00:00.000Z</x:v>
      </x:c>
      <x:c r="C73" s="20" t="n">
        <x:v>30104002434</x:v>
      </x:c>
      <x:c r="E73" s="18" t="str">
        <x:v>OCC_Exp_SNV</x:v>
      </x:c>
      <x:c r="F73" s="19" t="d">
        <x:v>2016-12-31T00:00:00.000Z</x:v>
      </x:c>
      <x:c r="G73" s="24" t="n">
        <x:v>9176065.56</x:v>
      </x:c>
    </x:row>
    <x:row r="74" ht="19" customHeight="1">
      <x:c r="A74" s="18" t="str">
        <x:v>Asset_SNV</x:v>
      </x:c>
      <x:c r="B74" s="19" t="d">
        <x:v>2017-01-31T00:00:00.000Z</x:v>
      </x:c>
      <x:c r="C74" s="20" t="n">
        <x:v>30306657950</x:v>
      </x:c>
      <x:c r="E74" s="18" t="str">
        <x:v>OCC_Exp_SNV</x:v>
      </x:c>
      <x:c r="F74" s="19" t="d">
        <x:v>2017-01-31T00:00:00.000Z</x:v>
      </x:c>
      <x:c r="G74" s="24" t="n">
        <x:v>9367542.86</x:v>
      </x:c>
    </x:row>
    <x:row r="75" ht="19" customHeight="1">
      <x:c r="A75" s="18" t="str">
        <x:v>Asset_SNV</x:v>
      </x:c>
      <x:c r="B75" s="19" t="d">
        <x:v>2017-02-28T00:00:00.000Z</x:v>
      </x:c>
      <x:c r="C75" s="20" t="n">
        <x:v>30520330419</x:v>
      </x:c>
      <x:c r="E75" s="18" t="str">
        <x:v>OCC_Exp_SNV</x:v>
      </x:c>
      <x:c r="F75" s="19" t="d">
        <x:v>2017-02-28T00:00:00.000Z</x:v>
      </x:c>
      <x:c r="G75" s="24" t="n">
        <x:v>9811718.11</x:v>
      </x:c>
    </x:row>
    <x:row r="76" ht="19" customHeight="1">
      <x:c r="A76" s="18" t="str">
        <x:v>Asset_SNV</x:v>
      </x:c>
      <x:c r="B76" s="19" t="d">
        <x:v>2017-03-31T00:00:00.000Z</x:v>
      </x:c>
      <x:c r="C76" s="20" t="n">
        <x:v>30679589469</x:v>
      </x:c>
      <x:c r="E76" s="18" t="str">
        <x:v>OCC_Exp_SNV</x:v>
      </x:c>
      <x:c r="F76" s="19" t="d">
        <x:v>2017-03-31T00:00:00.000Z</x:v>
      </x:c>
      <x:c r="G76" s="24" t="n">
        <x:v>10151828.85</x:v>
      </x:c>
    </x:row>
    <x:row r="77" ht="19" customHeight="1">
      <x:c r="A77" s="18" t="str">
        <x:v>Asset_SNV</x:v>
      </x:c>
      <x:c r="B77" s="19" t="d">
        <x:v>2017-04-30T00:00:00.000Z</x:v>
      </x:c>
      <x:c r="C77" s="20" t="n">
        <x:v>30444097752</x:v>
      </x:c>
      <x:c r="E77" s="18" t="str">
        <x:v>OCC_Exp_SNV</x:v>
      </x:c>
      <x:c r="F77" s="19" t="d">
        <x:v>2017-04-30T00:00:00.000Z</x:v>
      </x:c>
      <x:c r="G77" s="24" t="n">
        <x:v>9930247.08</x:v>
      </x:c>
    </x:row>
    <x:row r="78" ht="19" customHeight="1">
      <x:c r="A78" s="18" t="str">
        <x:v>Asset_SNV</x:v>
      </x:c>
      <x:c r="B78" s="19" t="d">
        <x:v>2017-05-31T00:00:00.000Z</x:v>
      </x:c>
      <x:c r="C78" s="20" t="n">
        <x:v>30679255234</x:v>
      </x:c>
      <x:c r="E78" s="18" t="str">
        <x:v>OCC_Exp_SNV</x:v>
      </x:c>
      <x:c r="F78" s="19" t="d">
        <x:v>2017-05-31T00:00:00.000Z</x:v>
      </x:c>
      <x:c r="G78" s="24" t="n">
        <x:v>10031943.35</x:v>
      </x:c>
    </x:row>
    <x:row r="79" ht="19" customHeight="1">
      <x:c r="A79" s="18" t="str">
        <x:v>Asset_SNV</x:v>
      </x:c>
      <x:c r="B79" s="19" t="d">
        <x:v>2017-06-30T00:00:00.000Z</x:v>
      </x:c>
      <x:c r="C79" s="20" t="n">
        <x:v>30687965879</x:v>
      </x:c>
      <x:c r="E79" s="18" t="str">
        <x:v>OCC_Exp_SNV</x:v>
      </x:c>
      <x:c r="F79" s="19" t="d">
        <x:v>2017-06-30T00:00:00.000Z</x:v>
      </x:c>
      <x:c r="G79" s="24" t="n">
        <x:v>9971043.05</x:v>
      </x:c>
    </x:row>
    <x:row r="80" ht="19" customHeight="1">
      <x:c r="A80" s="18" t="str">
        <x:v>Asset_SNV</x:v>
      </x:c>
      <x:c r="B80" s="19" t="d">
        <x:v>2017-07-31T00:00:00.000Z</x:v>
      </x:c>
      <x:c r="C80" s="20" t="n">
        <x:v>30748101885</x:v>
      </x:c>
      <x:c r="E80" s="18" t="str">
        <x:v>OCC_Exp_SNV</x:v>
      </x:c>
      <x:c r="F80" s="19" t="d">
        <x:v>2017-07-31T00:00:00.000Z</x:v>
      </x:c>
      <x:c r="G80" s="24" t="n">
        <x:v>10826732.15</x:v>
      </x:c>
    </x:row>
    <x:row r="81" ht="19" customHeight="1">
      <x:c r="A81" s="18" t="str">
        <x:v>Asset_SNV</x:v>
      </x:c>
      <x:c r="B81" s="19" t="d">
        <x:v>2017-08-31T00:00:00.000Z</x:v>
      </x:c>
      <x:c r="C81" s="20" t="n">
        <x:v>30570056233</x:v>
      </x:c>
      <x:c r="E81" s="18" t="str">
        <x:v>OCC_Exp_SNV</x:v>
      </x:c>
      <x:c r="F81" s="19" t="d">
        <x:v>2017-08-31T00:00:00.000Z</x:v>
      </x:c>
      <x:c r="G81" s="24" t="n">
        <x:v>10591645.12</x:v>
      </x:c>
    </x:row>
    <x:row r="82" ht="19" customHeight="1">
      <x:c r="A82" s="18" t="str">
        <x:v>Asset_SNV</x:v>
      </x:c>
      <x:c r="B82" s="19" t="d">
        <x:v>2017-09-30T00:00:00.000Z</x:v>
      </x:c>
      <x:c r="C82" s="20" t="n">
        <x:v>31642122772</x:v>
      </x:c>
      <x:c r="E82" s="18" t="str">
        <x:v>OCC_Exp_SNV</x:v>
      </x:c>
      <x:c r="F82" s="19" t="d">
        <x:v>2017-09-30T00:00:00.000Z</x:v>
      </x:c>
      <x:c r="G82" s="24" t="n">
        <x:v>9154869.21</x:v>
      </x:c>
    </x:row>
    <x:row r="83" ht="19" customHeight="1">
      <x:c r="A83" s="18" t="str">
        <x:v>Asset_SNV</x:v>
      </x:c>
      <x:c r="B83" s="19" t="d">
        <x:v>2017-10-31T00:00:00.000Z</x:v>
      </x:c>
      <x:c r="C83" s="20" t="n">
        <x:v>31273781380</x:v>
      </x:c>
      <x:c r="E83" s="18" t="str">
        <x:v>OCC_Exp_SNV</x:v>
      </x:c>
      <x:c r="F83" s="19" t="d">
        <x:v>2017-10-31T00:00:00.000Z</x:v>
      </x:c>
      <x:c r="G83" s="24" t="n">
        <x:v>10260968.66</x:v>
      </x:c>
    </x:row>
    <x:row r="84" ht="19" customHeight="1">
      <x:c r="A84" s="18" t="str">
        <x:v>Asset_SNV</x:v>
      </x:c>
      <x:c r="B84" s="19" t="d">
        <x:v>2017-11-30T00:00:00.000Z</x:v>
      </x:c>
      <x:c r="C84" s="20" t="n">
        <x:v>31461034981</x:v>
      </x:c>
      <x:c r="E84" s="18" t="str">
        <x:v>OCC_Exp_SNV</x:v>
      </x:c>
      <x:c r="F84" s="19" t="d">
        <x:v>2017-11-30T00:00:00.000Z</x:v>
      </x:c>
      <x:c r="G84" s="24" t="n">
        <x:v>10615694.7</x:v>
      </x:c>
    </x:row>
    <x:row r="85" ht="19" customHeight="1">
      <x:c r="A85" s="18" t="str">
        <x:v>Asset_SNV</x:v>
      </x:c>
      <x:c r="B85" s="19" t="d">
        <x:v>2017-12-31T00:00:00.000Z</x:v>
      </x:c>
      <x:c r="C85" s="20" t="n">
        <x:v>31221837223</x:v>
      </x:c>
      <x:c r="E85" s="18" t="str">
        <x:v>OCC_Exp_SNV</x:v>
      </x:c>
      <x:c r="F85" s="19" t="d">
        <x:v>2017-12-31T00:00:00.000Z</x:v>
      </x:c>
      <x:c r="G85" s="24" t="n">
        <x:v>9249601.21</x:v>
      </x:c>
    </x:row>
    <x:row r="86" ht="19" customHeight="1">
      <x:c r="A86" s="18" t="str">
        <x:v>Asset_SNV</x:v>
      </x:c>
      <x:c r="B86" s="19" t="d">
        <x:v>2018-01-31T00:00:00.000Z</x:v>
      </x:c>
      <x:c r="C86" s="20" t="n">
        <x:v>31166360236</x:v>
      </x:c>
      <x:c r="E86" s="18" t="str">
        <x:v>OCC_Exp_SNV</x:v>
      </x:c>
      <x:c r="F86" s="19" t="d">
        <x:v>2018-01-31T00:00:00.000Z</x:v>
      </x:c>
      <x:c r="G86" s="24" t="n">
        <x:v>10103721.12</x:v>
      </x:c>
    </x:row>
    <x:row r="87" ht="19" customHeight="1">
      <x:c r="A87" s="18" t="str">
        <x:v>Asset_SNV</x:v>
      </x:c>
      <x:c r="B87" s="19" t="d">
        <x:v>2018-02-28T00:00:00.000Z</x:v>
      </x:c>
      <x:c r="C87" s="20" t="n">
        <x:v>31285980221</x:v>
      </x:c>
      <x:c r="E87" s="18" t="str">
        <x:v>OCC_Exp_SNV</x:v>
      </x:c>
      <x:c r="F87" s="19" t="d">
        <x:v>2018-02-28T00:00:00.000Z</x:v>
      </x:c>
      <x:c r="G87" s="24" t="n">
        <x:v>10866543.59</x:v>
      </x:c>
    </x:row>
    <x:row r="88" ht="19" customHeight="1">
      <x:c r="A88" s="18" t="str">
        <x:v>Asset_SNV</x:v>
      </x:c>
      <x:c r="B88" s="19" t="d">
        <x:v>2018-03-31T00:00:00.000Z</x:v>
      </x:c>
      <x:c r="C88" s="20" t="n">
        <x:v>31501028134</x:v>
      </x:c>
      <x:c r="E88" s="18" t="str">
        <x:v>OCC_Exp_SNV</x:v>
      </x:c>
      <x:c r="F88" s="19" t="d">
        <x:v>2018-03-31T00:00:00.000Z</x:v>
      </x:c>
      <x:c r="G88" s="24" t="n">
        <x:v>10509583.11</x:v>
      </x:c>
    </x:row>
    <x:row r="89" ht="19" customHeight="1">
      <x:c r="A89" s="18" t="str">
        <x:v>Asset_SNV</x:v>
      </x:c>
      <x:c r="B89" s="19" t="d">
        <x:v>2018-04-30T00:00:00.000Z</x:v>
      </x:c>
      <x:c r="C89" s="20" t="n">
        <x:v>31441249911</x:v>
      </x:c>
      <x:c r="E89" s="18" t="str">
        <x:v>OCC_Exp_SNV</x:v>
      </x:c>
      <x:c r="F89" s="19" t="d">
        <x:v>2018-04-30T00:00:00.000Z</x:v>
      </x:c>
      <x:c r="G89" s="24" t="n">
        <x:v>10738214.98</x:v>
      </x:c>
    </x:row>
    <x:row r="90" ht="19" customHeight="1">
      <x:c r="A90" s="18" t="str">
        <x:v>Asset_SNV</x:v>
      </x:c>
      <x:c r="B90" s="19" t="d">
        <x:v>2018-05-31T00:00:00.000Z</x:v>
      </x:c>
      <x:c r="C90" s="20" t="n">
        <x:v>31732079191</x:v>
      </x:c>
      <x:c r="E90" s="18" t="str">
        <x:v>OCC_Exp_SNV</x:v>
      </x:c>
      <x:c r="F90" s="19" t="d">
        <x:v>2018-05-31T00:00:00.000Z</x:v>
      </x:c>
      <x:c r="G90" s="24" t="n">
        <x:v>11075420.27</x:v>
      </x:c>
    </x:row>
    <x:row r="91" ht="19" customHeight="1">
      <x:c r="A91" s="18" t="str">
        <x:v>Asset_SNV</x:v>
      </x:c>
      <x:c r="B91" s="19" t="d">
        <x:v>2018-06-30T00:00:00.000Z</x:v>
      </x:c>
      <x:c r="C91" s="20" t="n">
        <x:v>31740306498</x:v>
      </x:c>
      <x:c r="E91" s="18" t="str">
        <x:v>OCC_Exp_SNV</x:v>
      </x:c>
      <x:c r="F91" s="19" t="d">
        <x:v>2018-06-30T00:00:00.000Z</x:v>
      </x:c>
      <x:c r="G91" s="24" t="n">
        <x:v>10840462.06</x:v>
      </x:c>
    </x:row>
    <x:row r="92" ht="19" customHeight="1">
      <x:c r="A92" s="18" t="str">
        <x:v>Asset_SNV</x:v>
      </x:c>
      <x:c r="B92" s="19" t="d">
        <x:v>2018-07-31T00:00:00.000Z</x:v>
      </x:c>
      <x:c r="C92" s="20" t="n">
        <x:v>31939763148</x:v>
      </x:c>
      <x:c r="E92" s="18" t="str">
        <x:v>OCC_Exp_SNV</x:v>
      </x:c>
      <x:c r="F92" s="19" t="d">
        <x:v>2018-07-31T00:00:00.000Z</x:v>
      </x:c>
      <x:c r="G92" s="24" t="n">
        <x:v>10306074.12</x:v>
      </x:c>
    </x:row>
    <x:row r="93" ht="19" customHeight="1">
      <x:c r="A93" s="18" t="str">
        <x:v>Asset_SNV</x:v>
      </x:c>
      <x:c r="B93" s="19" t="d">
        <x:v>2018-08-31T00:00:00.000Z</x:v>
      </x:c>
      <x:c r="C93" s="20" t="n">
        <x:v>32103718589</x:v>
      </x:c>
      <x:c r="E93" s="18" t="str">
        <x:v>OCC_Exp_SNV</x:v>
      </x:c>
      <x:c r="F93" s="19" t="d">
        <x:v>2018-08-31T00:00:00.000Z</x:v>
      </x:c>
      <x:c r="G93" s="24" t="n">
        <x:v>10833640.19</x:v>
      </x:c>
    </x:row>
    <x:row r="94" ht="19" customHeight="1">
      <x:c r="A94" s="18" t="str">
        <x:v>Asset_SNV</x:v>
      </x:c>
      <x:c r="B94" s="19" t="d">
        <x:v>2018-09-30T00:00:00.000Z</x:v>
      </x:c>
      <x:c r="C94" s="20" t="n">
        <x:v>32075120333</x:v>
      </x:c>
      <x:c r="E94" s="18" t="str">
        <x:v>OCC_Exp_SNV</x:v>
      </x:c>
      <x:c r="F94" s="19" t="d">
        <x:v>2018-09-30T00:00:00.000Z</x:v>
      </x:c>
      <x:c r="G94" s="24" t="n">
        <x:v>10948496.88</x:v>
      </x:c>
    </x:row>
    <x:row r="95" ht="19" customHeight="1">
      <x:c r="A95" s="18" t="str">
        <x:v>Asset_SNV</x:v>
      </x:c>
      <x:c r="B95" s="19" t="d">
        <x:v>2018-10-31T00:00:00.000Z</x:v>
      </x:c>
      <x:c r="C95" s="20" t="n">
        <x:v>32113508290</x:v>
      </x:c>
      <x:c r="E95" s="18" t="str">
        <x:v>OCC_Exp_SNV</x:v>
      </x:c>
      <x:c r="F95" s="19" t="d">
        <x:v>2018-10-31T00:00:00.000Z</x:v>
      </x:c>
      <x:c r="G95" s="24" t="n">
        <x:v>11526855.66</x:v>
      </x:c>
    </x:row>
    <x:row r="96" ht="19" customHeight="1">
      <x:c r="A96" s="18" t="str">
        <x:v>Asset_SNV</x:v>
      </x:c>
      <x:c r="B96" s="19" t="d">
        <x:v>2018-11-30T00:00:00.000Z</x:v>
      </x:c>
      <x:c r="C96" s="20" t="n">
        <x:v>32754224939</x:v>
      </x:c>
      <x:c r="E96" s="18" t="str">
        <x:v>OCC_Exp_SNV</x:v>
      </x:c>
      <x:c r="F96" s="19" t="d">
        <x:v>2018-11-30T00:00:00.000Z</x:v>
      </x:c>
      <x:c r="G96" s="24" t="n">
        <x:v>11560189.6</x:v>
      </x:c>
    </x:row>
    <x:row r="97" ht="19" customHeight="1">
      <x:c r="A97" s="18" t="str">
        <x:v>Asset_SNV</x:v>
      </x:c>
      <x:c r="B97" s="19" t="d">
        <x:v>2018-12-31T00:00:00.000Z</x:v>
      </x:c>
      <x:c r="C97" s="20" t="n">
        <x:v>32669191734</x:v>
      </x:c>
      <x:c r="E97" s="18" t="str">
        <x:v>OCC_Exp_SNV</x:v>
      </x:c>
      <x:c r="F97" s="19" t="d">
        <x:v>2018-12-31T00:00:00.000Z</x:v>
      </x:c>
      <x:c r="G97" s="24" t="n">
        <x:v>11173258.78</x:v>
      </x:c>
    </x:row>
    <x:row r="98" ht="19" customHeight="1">
      <x:c r="A98" s="18" t="str">
        <x:v>Asset_SNV</x:v>
      </x:c>
      <x:c r="B98" s="19" t="d">
        <x:v>2019-01-31T00:00:00.000Z</x:v>
      </x:c>
      <x:c r="C98" s="20" t="n">
        <x:v>45703433978</x:v>
      </x:c>
      <x:c r="E98" s="18" t="str">
        <x:v>OCC_Exp_SNV</x:v>
      </x:c>
      <x:c r="F98" s="19" t="d">
        <x:v>2019-01-31T00:00:00.000Z</x:v>
      </x:c>
      <x:c r="G98" s="24" t="n">
        <x:v>12491861.76</x:v>
      </x:c>
    </x:row>
    <x:row r="99" ht="19" customHeight="1">
      <x:c r="A99" s="18" t="str">
        <x:v>Asset_SNV</x:v>
      </x:c>
      <x:c r="B99" s="19" t="d">
        <x:v>2019-02-28T00:00:00.000Z</x:v>
      </x:c>
      <x:c r="C99" s="20" t="n">
        <x:v>46026131696</x:v>
      </x:c>
      <x:c r="E99" s="18" t="str">
        <x:v>OCC_Exp_SNV</x:v>
      </x:c>
      <x:c r="F99" s="19" t="d">
        <x:v>2019-02-28T00:00:00.000Z</x:v>
      </x:c>
      <x:c r="G99" s="24" t="n">
        <x:v>12068819.17</x:v>
      </x:c>
    </x:row>
    <x:row r="100" ht="19" customHeight="1">
      <x:c r="A100" s="18" t="str">
        <x:v>Asset_SNV</x:v>
      </x:c>
      <x:c r="B100" s="19" t="d">
        <x:v>2019-03-31T00:00:00.000Z</x:v>
      </x:c>
      <x:c r="C100" s="20" t="n">
        <x:v>46630024868</x:v>
      </x:c>
      <x:c r="E100" s="18" t="str">
        <x:v>OCC_Exp_SNV</x:v>
      </x:c>
      <x:c r="F100" s="19" t="d">
        <x:v>2019-03-31T00:00:00.000Z</x:v>
      </x:c>
      <x:c r="G100" s="24" t="n">
        <x:v>13833541.18</x:v>
      </x:c>
    </x:row>
    <x:row r="101" ht="19" customHeight="1">
      <x:c r="A101" s="18" t="str">
        <x:v>Asset_SNV</x:v>
      </x:c>
      <x:c r="B101" s="19" t="d">
        <x:v>2019-04-30T00:00:00.000Z</x:v>
      </x:c>
      <x:c r="C101" s="20" t="n">
        <x:v>46648327888</x:v>
      </x:c>
      <x:c r="E101" s="18" t="str">
        <x:v>OCC_Exp_SNV</x:v>
      </x:c>
      <x:c r="F101" s="19" t="d">
        <x:v>2019-04-30T00:00:00.000Z</x:v>
      </x:c>
      <x:c r="G101" s="24" t="n">
        <x:v>13138668.11</x:v>
      </x:c>
    </x:row>
    <x:row r="102" ht="19" customHeight="1">
      <x:c r="A102" s="18" t="str">
        <x:v>Asset_SNV</x:v>
      </x:c>
      <x:c r="B102" s="19" t="d">
        <x:v>2019-05-31T00:00:00.000Z</x:v>
      </x:c>
      <x:c r="C102" s="20" t="n">
        <x:v>46890402060</x:v>
      </x:c>
      <x:c r="E102" s="18" t="str">
        <x:v>OCC_Exp_SNV</x:v>
      </x:c>
      <x:c r="F102" s="19" t="d">
        <x:v>2019-05-31T00:00:00.000Z</x:v>
      </x:c>
      <x:c r="G102" s="24" t="n">
        <x:v>13460684.08</x:v>
      </x:c>
    </x:row>
    <x:row r="103" ht="19" customHeight="1">
      <x:c r="A103" s="18" t="str">
        <x:v>Asset_SNV</x:v>
      </x:c>
      <x:c r="B103" s="19" t="d">
        <x:v>2019-06-30T00:00:00.000Z</x:v>
      </x:c>
      <x:c r="C103" s="20" t="n">
        <x:v>47318202513</x:v>
      </x:c>
      <x:c r="E103" s="18" t="str">
        <x:v>OCC_Exp_SNV</x:v>
      </x:c>
      <x:c r="F103" s="19" t="d">
        <x:v>2019-06-30T00:00:00.000Z</x:v>
      </x:c>
      <x:c r="G103" s="24" t="n">
        <x:v>13251665.41</x:v>
      </x:c>
    </x:row>
    <x:row r="104" ht="19" customHeight="1">
      <x:c r="A104" s="18" t="str">
        <x:v>Asset_SNV</x:v>
      </x:c>
      <x:c r="B104" s="19" t="d">
        <x:v>2019-07-31T00:00:00.000Z</x:v>
      </x:c>
      <x:c r="C104" s="20" t="n">
        <x:v>47163675135</x:v>
      </x:c>
      <x:c r="E104" s="18" t="str">
        <x:v>OCC_Exp_SNV</x:v>
      </x:c>
      <x:c r="F104" s="19" t="d">
        <x:v>2019-07-31T00:00:00.000Z</x:v>
      </x:c>
      <x:c r="G104" s="24" t="n">
        <x:v>13770202.62</x:v>
      </x:c>
    </x:row>
    <x:row r="105" ht="19" customHeight="1">
      <x:c r="A105" s="18" t="str">
        <x:v>Asset_SNV</x:v>
      </x:c>
      <x:c r="B105" s="19" t="d">
        <x:v>2019-08-31T00:00:00.000Z</x:v>
      </x:c>
      <x:c r="C105" s="20" t="n">
        <x:v>47440394355</x:v>
      </x:c>
      <x:c r="E105" s="18" t="str">
        <x:v>OCC_Exp_SNV</x:v>
      </x:c>
      <x:c r="F105" s="19" t="d">
        <x:v>2019-08-31T00:00:00.000Z</x:v>
      </x:c>
      <x:c r="G105" s="24" t="n">
        <x:v>14014726.65</x:v>
      </x:c>
    </x:row>
    <x:row r="106" ht="19" customHeight="1">
      <x:c r="A106" s="18" t="str">
        <x:v>Asset_SNV</x:v>
      </x:c>
      <x:c r="B106" s="19" t="d">
        <x:v>2019-09-30T00:00:00.000Z</x:v>
      </x:c>
      <x:c r="C106" s="20" t="n">
        <x:v>47661181823</x:v>
      </x:c>
      <x:c r="E106" s="18" t="str">
        <x:v>OCC_Exp_SNV</x:v>
      </x:c>
      <x:c r="F106" s="19" t="d">
        <x:v>2019-09-30T00:00:00.000Z</x:v>
      </x:c>
      <x:c r="G106" s="24" t="n">
        <x:v>13231966.52</x:v>
      </x:c>
    </x:row>
    <x:row r="107" ht="19" customHeight="1">
      <x:c r="A107" s="18" t="str">
        <x:v>Asset_SNV</x:v>
      </x:c>
      <x:c r="B107" s="19" t="d">
        <x:v>2019-10-31T00:00:00.000Z</x:v>
      </x:c>
      <x:c r="C107" s="20" t="n">
        <x:v>47311636252</x:v>
      </x:c>
      <x:c r="E107" s="18" t="str">
        <x:v>OCC_Exp_SNV</x:v>
      </x:c>
      <x:c r="F107" s="19" t="d">
        <x:v>2019-10-31T00:00:00.000Z</x:v>
      </x:c>
      <x:c r="G107" s="24" t="n">
        <x:v>14656496.93</x:v>
      </x:c>
    </x:row>
    <x:row r="108" ht="19" customHeight="1">
      <x:c r="A108" s="18" t="str">
        <x:v>Asset_SNV</x:v>
      </x:c>
      <x:c r="B108" s="19" t="d">
        <x:v>2019-11-30T00:00:00.000Z</x:v>
      </x:c>
      <x:c r="C108" s="20" t="n">
        <x:v>47413650966</x:v>
      </x:c>
      <x:c r="E108" s="18" t="str">
        <x:v>OCC_Exp_SNV</x:v>
      </x:c>
      <x:c r="F108" s="19" t="d">
        <x:v>2019-11-30T00:00:00.000Z</x:v>
      </x:c>
      <x:c r="G108" s="24" t="n">
        <x:v>13367094.81</x:v>
      </x:c>
    </x:row>
    <x:row r="109" ht="19" customHeight="1">
      <x:c r="A109" s="18" t="str">
        <x:v>Asset_SNV</x:v>
      </x:c>
      <x:c r="B109" s="19" t="d">
        <x:v>2019-12-31T00:00:00.000Z</x:v>
      </x:c>
      <x:c r="C109" s="20" t="n">
        <x:v>48203281816</x:v>
      </x:c>
      <x:c r="E109" s="18" t="str">
        <x:v>OCC_Exp_SNV</x:v>
      </x:c>
      <x:c r="F109" s="19" t="d">
        <x:v>2019-12-31T00:00:00.000Z</x:v>
      </x:c>
      <x:c r="G109" s="24" t="n">
        <x:v>14620644.86</x:v>
      </x:c>
    </x:row>
    <x:row r="110" ht="19" customHeight="1">
      <x:c r="A110" s="18" t="str">
        <x:v>Asset_SNV</x:v>
      </x:c>
      <x:c r="B110" s="19" t="d">
        <x:v>2020-01-31T00:00:00.000Z</x:v>
      </x:c>
      <x:c r="C110" s="20" t="n">
        <x:v>48279630336</x:v>
      </x:c>
      <x:c r="E110" s="18" t="str">
        <x:v>OCC_Exp_SNV</x:v>
      </x:c>
      <x:c r="F110" s="19" t="d">
        <x:v>2020-01-31T00:00:00.000Z</x:v>
      </x:c>
      <x:c r="G110" s="24" t="n">
        <x:v>14051927.37</x:v>
      </x:c>
    </x:row>
    <x:row r="111" ht="19" customHeight="1">
      <x:c r="A111" s="18" t="str">
        <x:v>Asset_SNV</x:v>
      </x:c>
      <x:c r="B111" s="19" t="d">
        <x:v>2020-02-29T00:00:00.000Z</x:v>
      </x:c>
      <x:c r="C111" s="20" t="n">
        <x:v>48960999548</x:v>
      </x:c>
      <x:c r="E111" s="18" t="str">
        <x:v>OCC_Exp_SNV</x:v>
      </x:c>
      <x:c r="F111" s="19" t="d">
        <x:v>2020-02-29T00:00:00.000Z</x:v>
      </x:c>
      <x:c r="G111" s="24" t="n">
        <x:v>13753196.13</x:v>
      </x:c>
    </x:row>
    <x:row r="112" ht="19" customHeight="1">
      <x:c r="A112" s="18" t="str">
        <x:v>Asset_SNV</x:v>
      </x:c>
      <x:c r="B112" s="19" t="d">
        <x:v>2020-03-31T00:00:00.000Z</x:v>
      </x:c>
      <x:c r="C112" s="20" t="n">
        <x:v>50619585049</x:v>
      </x:c>
      <x:c r="E112" s="18" t="str">
        <x:v>OCC_Exp_SNV</x:v>
      </x:c>
      <x:c r="F112" s="19" t="d">
        <x:v>2020-03-31T00:00:00.000Z</x:v>
      </x:c>
      <x:c r="G112" s="24" t="n">
        <x:v>14389193.29</x:v>
      </x:c>
    </x:row>
    <x:row r="113" ht="19" customHeight="1">
      <x:c r="A113" s="18" t="str">
        <x:v>Asset_SNV</x:v>
      </x:c>
      <x:c r="B113" s="19" t="d">
        <x:v>2020-04-30T00:00:00.000Z</x:v>
      </x:c>
      <x:c r="C113" s="20" t="n">
        <x:v>53310155317</x:v>
      </x:c>
      <x:c r="E113" s="18" t="str">
        <x:v>OCC_Exp_SNV</x:v>
      </x:c>
      <x:c r="F113" s="19" t="d">
        <x:v>2020-04-30T00:00:00.000Z</x:v>
      </x:c>
      <x:c r="G113" s="24" t="n">
        <x:v>14347427.6</x:v>
      </x:c>
    </x:row>
    <x:row r="114" ht="19" customHeight="1">
      <x:c r="A114" s="18" t="str">
        <x:v>Asset_SNV</x:v>
      </x:c>
      <x:c r="B114" s="19" t="d">
        <x:v>2020-05-31T00:00:00.000Z</x:v>
      </x:c>
      <x:c r="C114" s="20" t="n">
        <x:v>53273884371</x:v>
      </x:c>
      <x:c r="E114" s="18" t="str">
        <x:v>OCC_Exp_SNV</x:v>
      </x:c>
      <x:c r="F114" s="19" t="d">
        <x:v>2020-05-31T00:00:00.000Z</x:v>
      </x:c>
      <x:c r="G114" s="24" t="n">
        <x:v>13692491.55</x:v>
      </x:c>
    </x:row>
    <x:row r="115" ht="19" customHeight="1">
      <x:c r="A115" s="18" t="str">
        <x:v>Asset_SNV</x:v>
      </x:c>
      <x:c r="B115" s="19" t="d">
        <x:v>2020-06-30T00:00:00.000Z</x:v>
      </x:c>
      <x:c r="C115" s="20" t="n">
        <x:v>54121988575</x:v>
      </x:c>
      <x:c r="E115" s="18" t="str">
        <x:v>OCC_Exp_SNV</x:v>
      </x:c>
      <x:c r="F115" s="19" t="d">
        <x:v>2020-06-30T00:00:00.000Z</x:v>
      </x:c>
      <x:c r="G115" s="24" t="n">
        <x:v>13686857.48</x:v>
      </x:c>
    </x:row>
    <x:row r="116" ht="19" customHeight="1">
      <x:c r="A116" s="18" t="str">
        <x:v>Asset_SNV</x:v>
      </x:c>
      <x:c r="B116" s="19" t="d">
        <x:v>2020-07-31T00:00:00.000Z</x:v>
      </x:c>
      <x:c r="C116" s="20" t="n">
        <x:v>53267795967</x:v>
      </x:c>
      <x:c r="E116" s="18" t="str">
        <x:v>OCC_Exp_SNV</x:v>
      </x:c>
      <x:c r="F116" s="19" t="d">
        <x:v>2020-07-31T00:00:00.000Z</x:v>
      </x:c>
      <x:c r="G116" s="24" t="n">
        <x:v>13068517.85</x:v>
      </x:c>
    </x:row>
    <x:row r="117" ht="19" customHeight="1">
      <x:c r="A117" s="18" t="str">
        <x:v>Asset_SNV</x:v>
      </x:c>
      <x:c r="B117" s="19" t="d">
        <x:v>2020-08-31T00:00:00.000Z</x:v>
      </x:c>
      <x:c r="C117" s="20" t="n">
        <x:v>53505133742</x:v>
      </x:c>
      <x:c r="E117" s="18" t="str">
        <x:v>OCC_Exp_SNV</x:v>
      </x:c>
      <x:c r="F117" s="19" t="d">
        <x:v>2020-08-31T00:00:00.000Z</x:v>
      </x:c>
      <x:c r="G117" s="24" t="n">
        <x:v>14078057.9</x:v>
      </x:c>
    </x:row>
    <x:row r="118" ht="19" customHeight="1">
      <x:c r="A118" s="18" t="str">
        <x:v>Asset_SNV</x:v>
      </x:c>
      <x:c r="B118" s="19" t="d">
        <x:v>2020-09-30T00:00:00.000Z</x:v>
      </x:c>
      <x:c r="C118" s="20" t="n">
        <x:v>53040538404</x:v>
      </x:c>
      <x:c r="E118" s="18" t="str">
        <x:v>OCC_Exp_SNV</x:v>
      </x:c>
      <x:c r="F118" s="19" t="d">
        <x:v>2020-09-30T00:00:00.000Z</x:v>
      </x:c>
      <x:c r="G118" s="24" t="n">
        <x:v>14407656.2</x:v>
      </x:c>
    </x:row>
    <x:row r="119" ht="19" customHeight="1">
      <x:c r="A119" s="18" t="str">
        <x:v>Asset_SNV</x:v>
      </x:c>
      <x:c r="B119" s="19" t="d">
        <x:v>2020-10-31T00:00:00.000Z</x:v>
      </x:c>
      <x:c r="C119" s="20" t="n">
        <x:v>53553564344</x:v>
      </x:c>
      <x:c r="E119" s="18" t="str">
        <x:v>OCC_Exp_SNV</x:v>
      </x:c>
      <x:c r="F119" s="19" t="d">
        <x:v>2020-10-31T00:00:00.000Z</x:v>
      </x:c>
      <x:c r="G119" s="24" t="n">
        <x:v>14635323.28</x:v>
      </x:c>
    </x:row>
    <x:row r="120" ht="19" customHeight="1">
      <x:c r="A120" s="18" t="str">
        <x:v>Asset_SNV</x:v>
      </x:c>
      <x:c r="B120" s="19" t="d">
        <x:v>2020-11-30T00:00:00.000Z</x:v>
      </x:c>
      <x:c r="C120" s="20" t="n">
        <x:v>54674487663</x:v>
      </x:c>
      <x:c r="E120" s="18" t="str">
        <x:v>OCC_Exp_SNV</x:v>
      </x:c>
      <x:c r="F120" s="19" t="d">
        <x:v>2020-11-30T00:00:00.000Z</x:v>
      </x:c>
      <x:c r="G120" s="24" t="n">
        <x:v>14273640.5</x:v>
      </x:c>
    </x:row>
    <x:row r="121" ht="19" customHeight="1">
      <x:c r="A121" s="18" t="str">
        <x:v>Asset_SNV</x:v>
      </x:c>
      <x:c r="B121" s="19" t="d">
        <x:v>2020-12-31T00:00:00.000Z</x:v>
      </x:c>
      <x:c r="C121" s="20" t="n">
        <x:v>54394158768</x:v>
      </x:c>
      <x:c r="E121" s="18" t="str">
        <x:v>OCC_Exp_SNV</x:v>
      </x:c>
      <x:c r="F121" s="19" t="d">
        <x:v>2020-12-31T00:00:00.000Z</x:v>
      </x:c>
      <x:c r="G121" s="24" t="n">
        <x:v>15273819.76</x:v>
      </x:c>
    </x:row>
    <x:row r="122" ht="19" customHeight="1">
      <x:c r="A122" s="18" t="str">
        <x:v>Asset_SNV</x:v>
      </x:c>
      <x:c r="B122" s="19" t="d">
        <x:v>2021-01-31T00:00:00.000Z</x:v>
      </x:c>
      <x:c r="C122" s="20" t="n">
        <x:v>53553407994</x:v>
      </x:c>
      <x:c r="E122" s="18" t="str">
        <x:v>OCC_Exp_SNV</x:v>
      </x:c>
      <x:c r="F122" s="19" t="d">
        <x:v>2021-01-31T00:00:00.000Z</x:v>
      </x:c>
      <x:c r="G122" s="24" t="n">
        <x:v>13773399.71</x:v>
      </x:c>
    </x:row>
    <x:row r="123" ht="19" customHeight="1">
      <x:c r="A123" s="18" t="str">
        <x:v>Asset_SNV</x:v>
      </x:c>
      <x:c r="B123" s="19" t="d">
        <x:v>2021-02-28T00:00:00.000Z</x:v>
      </x:c>
      <x:c r="C123" s="20" t="n">
        <x:v>54507747730</x:v>
      </x:c>
      <x:c r="E123" s="18" t="str">
        <x:v>OCC_Exp_SNV</x:v>
      </x:c>
      <x:c r="F123" s="19" t="d">
        <x:v>2021-02-28T00:00:00.000Z</x:v>
      </x:c>
      <x:c r="G123" s="24" t="n">
        <x:v>13554285.72</x:v>
      </x:c>
    </x:row>
    <x:row r="124" ht="19" customHeight="1">
      <x:c r="A124" s="18" t="str">
        <x:v>Asset_SNV</x:v>
      </x:c>
      <x:c r="B124" s="19" t="d">
        <x:v>2021-03-31T00:00:00.000Z</x:v>
      </x:c>
      <x:c r="C124" s="20" t="n">
        <x:v>55159011336</x:v>
      </x:c>
      <x:c r="E124" s="18" t="str">
        <x:v>OCC_Exp_SNV</x:v>
      </x:c>
      <x:c r="F124" s="19" t="d">
        <x:v>2021-03-31T00:00:00.000Z</x:v>
      </x:c>
      <x:c r="G124" s="24" t="n">
        <x:v>13806228.59</x:v>
      </x:c>
    </x:row>
    <x:row r="125" ht="19" customHeight="1">
      <x:c r="A125" s="18" t="str">
        <x:v>Asset_SNV</x:v>
      </x:c>
      <x:c r="B125" s="19" t="d">
        <x:v>2021-04-30T00:00:00.000Z</x:v>
      </x:c>
      <x:c r="C125" s="20" t="n">
        <x:v>55265664225</x:v>
      </x:c>
      <x:c r="E125" s="18" t="str">
        <x:v>OCC_Exp_SNV</x:v>
      </x:c>
      <x:c r="F125" s="19" t="d">
        <x:v>2021-04-30T00:00:00.000Z</x:v>
      </x:c>
      <x:c r="G125" s="24" t="n">
        <x:v>14136985.76</x:v>
      </x:c>
    </x:row>
    <x:row r="126" ht="19" customHeight="1">
      <x:c r="A126" s="18" t="str">
        <x:v>Asset_SNV</x:v>
      </x:c>
      <x:c r="B126" s="19" t="d">
        <x:v>2021-05-31T00:00:00.000Z</x:v>
      </x:c>
      <x:c r="C126" s="20" t="n">
        <x:v>54806158508</x:v>
      </x:c>
      <x:c r="E126" s="18" t="str">
        <x:v>OCC_Exp_SNV</x:v>
      </x:c>
      <x:c r="F126" s="19" t="d">
        <x:v>2021-05-31T00:00:00.000Z</x:v>
      </x:c>
      <x:c r="G126" s="24" t="n">
        <x:v>13924447.44</x:v>
      </x:c>
    </x:row>
    <x:row r="127" ht="19" customHeight="1">
      <x:c r="A127" s="18" t="str">
        <x:v>Asset_SNV</x:v>
      </x:c>
      <x:c r="B127" s="19" t="d">
        <x:v>2021-06-30T00:00:00.000Z</x:v>
      </x:c>
      <x:c r="C127" s="20" t="n">
        <x:v>54938658607</x:v>
      </x:c>
      <x:c r="E127" s="18" t="str">
        <x:v>OCC_Exp_SNV</x:v>
      </x:c>
      <x:c r="F127" s="19" t="d">
        <x:v>2021-06-30T00:00:00.000Z</x:v>
      </x:c>
      <x:c r="G127" s="24" t="n">
        <x:v>13763517.34</x:v>
      </x:c>
    </x:row>
    <x:row r="128" ht="19" customHeight="1">
      <x:c r="A128" s="18" t="str">
        <x:v>Asset_SNV</x:v>
      </x:c>
      <x:c r="B128" s="19" t="d">
        <x:v>2021-07-31T00:00:00.000Z</x:v>
      </x:c>
      <x:c r="C128" s="20" t="n">
        <x:v>55534292010</x:v>
      </x:c>
      <x:c r="E128" s="18" t="str">
        <x:v>OCC_Exp_SNV</x:v>
      </x:c>
      <x:c r="F128" s="19" t="d">
        <x:v>2021-07-31T00:00:00.000Z</x:v>
      </x:c>
      <x:c r="G128" s="24" t="n">
        <x:v>14476048.24</x:v>
      </x:c>
    </x:row>
    <x:row r="129" ht="19" customHeight="1">
      <x:c r="A129" s="18" t="str">
        <x:v>Asset_SNV</x:v>
      </x:c>
      <x:c r="B129" s="19" t="d">
        <x:v>2021-08-31T00:00:00.000Z</x:v>
      </x:c>
      <x:c r="C129" s="20" t="n">
        <x:v>55374609829</x:v>
      </x:c>
      <x:c r="E129" s="18" t="str">
        <x:v>OCC_Exp_SNV</x:v>
      </x:c>
      <x:c r="F129" s="19" t="d">
        <x:v>2021-08-31T00:00:00.000Z</x:v>
      </x:c>
      <x:c r="G129" s="24" t="n">
        <x:v>14164031.61</x:v>
      </x:c>
    </x:row>
    <x:row r="130" ht="19" customHeight="1">
      <x:c r="A130" s="18" t="str">
        <x:v>Asset_SNV</x:v>
      </x:c>
      <x:c r="B130" s="19" t="d">
        <x:v>2021-09-30T00:00:00.000Z</x:v>
      </x:c>
      <x:c r="C130" s="20" t="n">
        <x:v>55509129346</x:v>
      </x:c>
      <x:c r="E130" s="18" t="str">
        <x:v>OCC_Exp_SNV</x:v>
      </x:c>
      <x:c r="F130" s="19" t="d">
        <x:v>2021-09-30T00:00:00.000Z</x:v>
      </x:c>
      <x:c r="G130" s="24" t="n">
        <x:v>14843308.88</x:v>
      </x:c>
    </x:row>
    <x:row r="131" ht="19" customHeight="1">
      <x:c r="A131" s="18" t="str">
        <x:v>Asset_SNV</x:v>
      </x:c>
      <x:c r="B131" s="19" t="d">
        <x:v>2021-10-31T00:00:00.000Z</x:v>
      </x:c>
      <x:c r="C131" s="20" t="n">
        <x:v>55904554806</x:v>
      </x:c>
      <x:c r="E131" s="18" t="str">
        <x:v>OCC_Exp_SNV</x:v>
      </x:c>
      <x:c r="F131" s="19" t="d">
        <x:v>2021-10-31T00:00:00.000Z</x:v>
      </x:c>
      <x:c r="G131" s="24" t="n">
        <x:v>15146595.49</x:v>
      </x:c>
    </x:row>
    <x:row r="132" ht="19" customHeight="1">
      <x:c r="A132" s="18" t="str">
        <x:v>Asset_SNV</x:v>
      </x:c>
      <x:c r="B132" s="19" t="d">
        <x:v>2021-11-30T00:00:00.000Z</x:v>
      </x:c>
      <x:c r="C132" s="20" t="n">
        <x:v>57823788764</x:v>
      </x:c>
      <x:c r="E132" s="18" t="str">
        <x:v>OCC_Exp_SNV</x:v>
      </x:c>
      <x:c r="F132" s="19" t="d">
        <x:v>2021-11-30T00:00:00.000Z</x:v>
      </x:c>
      <x:c r="G132" s="24" t="n">
        <x:v>14261462.34</x:v>
      </x:c>
    </x:row>
    <x:row r="133" ht="19" customHeight="1">
      <x:c r="A133" s="18" t="str">
        <x:v>Asset_SNV</x:v>
      </x:c>
      <x:c r="B133" s="19" t="d">
        <x:v>2021-12-31T00:00:00.000Z</x:v>
      </x:c>
      <x:c r="C133" s="20" t="n">
        <x:v>57317225848</x:v>
      </x:c>
      <x:c r="E133" s="18" t="str">
        <x:v>OCC_Exp_SNV</x:v>
      </x:c>
      <x:c r="F133" s="19" t="d">
        <x:v>2021-12-31T00:00:00.000Z</x:v>
      </x:c>
      <x:c r="G133" s="24" t="n">
        <x:v>13371728.65</x:v>
      </x:c>
    </x:row>
    <x:row r="134" ht="19" customHeight="1">
      <x:c r="A134" s="18" t="str">
        <x:v>Asset_SNV</x:v>
      </x:c>
      <x:c r="B134" s="19" t="d">
        <x:v>2022-01-31T00:00:00.000Z</x:v>
      </x:c>
      <x:c r="C134" s="20" t="n">
        <x:v>56966882228</x:v>
      </x:c>
      <x:c r="E134" s="18" t="str">
        <x:v>OCC_Exp_SNV</x:v>
      </x:c>
      <x:c r="F134" s="19" t="d">
        <x:v>2022-01-31T00:00:00.000Z</x:v>
      </x:c>
      <x:c r="G134" s="24" t="n">
        <x:v>13873073.66</x:v>
      </x:c>
    </x:row>
    <x:row r="135" ht="19" customHeight="1">
      <x:c r="A135" s="18" t="str">
        <x:v>Asset_SNV</x:v>
      </x:c>
      <x:c r="B135" s="19" t="d">
        <x:v>2022-02-28T00:00:00.000Z</x:v>
      </x:c>
      <x:c r="C135" s="20" t="n">
        <x:v>57145769647</x:v>
      </x:c>
      <x:c r="E135" s="18" t="str">
        <x:v>OCC_Exp_SNV</x:v>
      </x:c>
      <x:c r="F135" s="19" t="d">
        <x:v>2022-02-28T00:00:00.000Z</x:v>
      </x:c>
      <x:c r="G135" s="24" t="n">
        <x:v>14771313.33</x:v>
      </x:c>
    </x:row>
    <x:row r="136" ht="19" customHeight="1">
      <x:c r="A136" s="18" t="str">
        <x:v>Asset_SNV</x:v>
      </x:c>
      <x:c r="B136" s="19" t="d">
        <x:v>2022-03-31T00:00:00.000Z</x:v>
      </x:c>
      <x:c r="C136" s="20" t="n">
        <x:v>56419548647</x:v>
      </x:c>
      <x:c r="E136" s="18" t="str">
        <x:v>OCC_Exp_SNV</x:v>
      </x:c>
      <x:c r="F136" s="19" t="d">
        <x:v>2022-03-31T00:00:00.000Z</x:v>
      </x:c>
      <x:c r="G136" s="24" t="n">
        <x:v>14232457.44</x:v>
      </x:c>
    </x:row>
    <x:row r="137" ht="19" customHeight="1">
      <x:c r="A137" s="18" t="str">
        <x:v>Asset_SNV</x:v>
      </x:c>
      <x:c r="B137" s="19" t="d">
        <x:v>2022-04-30T00:00:00.000Z</x:v>
      </x:c>
      <x:c r="C137" s="20" t="n">
        <x:v>56734357421</x:v>
      </x:c>
      <x:c r="E137" s="18" t="str">
        <x:v>OCC_Exp_SNV</x:v>
      </x:c>
      <x:c r="F137" s="19" t="d">
        <x:v>2022-04-30T00:00:00.000Z</x:v>
      </x:c>
      <x:c r="G137" s="24" t="n">
        <x:v>14338324.25</x:v>
      </x:c>
    </x:row>
    <x:row r="138" ht="19" customHeight="1">
      <x:c r="A138" s="18" t="str">
        <x:v>Asset_SNV</x:v>
      </x:c>
      <x:c r="B138" s="19" t="d">
        <x:v>2022-05-31T00:00:00.000Z</x:v>
      </x:c>
      <x:c r="C138" s="20" t="n">
        <x:v>57622547679</x:v>
      </x:c>
      <x:c r="E138" s="18" t="str">
        <x:v>OCC_Exp_SNV</x:v>
      </x:c>
      <x:c r="F138" s="19" t="d">
        <x:v>2022-05-31T00:00:00.000Z</x:v>
      </x:c>
      <x:c r="G138" s="24" t="n">
        <x:v>13933620.99</x:v>
      </x:c>
    </x:row>
    <x:row r="139" ht="19" customHeight="1">
      <x:c r="A139" s="18" t="str">
        <x:v>Asset_SNV</x:v>
      </x:c>
      <x:c r="B139" s="19" t="d">
        <x:v>2022-06-30T00:00:00.000Z</x:v>
      </x:c>
      <x:c r="C139" s="20" t="n">
        <x:v>57382745181</x:v>
      </x:c>
      <x:c r="E139" s="18" t="str">
        <x:v>OCC_Exp_SNV</x:v>
      </x:c>
      <x:c r="F139" s="19" t="d">
        <x:v>2022-06-30T00:00:00.000Z</x:v>
      </x:c>
      <x:c r="G139" s="24" t="n">
        <x:v>14926800.04</x:v>
      </x:c>
    </x:row>
    <x:row r="140" ht="19" customHeight="1">
      <x:c r="A140" s="18" t="str">
        <x:v>Asset_SNV</x:v>
      </x:c>
      <x:c r="B140" s="19" t="d">
        <x:v>2022-07-31T00:00:00.000Z</x:v>
      </x:c>
      <x:c r="C140" s="20" t="n">
        <x:v>58121943158</x:v>
      </x:c>
      <x:c r="E140" s="18" t="str">
        <x:v>OCC_Exp_SNV</x:v>
      </x:c>
      <x:c r="F140" s="19" t="d">
        <x:v>2022-07-31T00:00:00.000Z</x:v>
      </x:c>
      <x:c r="G140" s="24" t="n">
        <x:v>14939073.09</x:v>
      </x:c>
    </x:row>
    <x:row r="141" ht="19" customHeight="1">
      <x:c r="A141" s="18" t="str">
        <x:v>Asset_SNV</x:v>
      </x:c>
      <x:c r="B141" s="19" t="d">
        <x:v>2022-08-31T00:00:00.000Z</x:v>
      </x:c>
      <x:c r="C141" s="20" t="n">
        <x:v>58902960788</x:v>
      </x:c>
      <x:c r="E141" s="18" t="str">
        <x:v>OCC_Exp_SNV</x:v>
      </x:c>
      <x:c r="F141" s="19" t="d">
        <x:v>2022-08-31T00:00:00.000Z</x:v>
      </x:c>
      <x:c r="G141" s="24" t="n">
        <x:v>14082293.99</x:v>
      </x:c>
    </x:row>
    <x:row r="142" ht="19" customHeight="1">
      <x:c r="A142" s="18" t="str">
        <x:v>Asset_SNV</x:v>
      </x:c>
      <x:c r="B142" s="19" t="d">
        <x:v>2022-09-30T00:00:00.000Z</x:v>
      </x:c>
      <x:c r="C142" s="20" t="n">
        <x:v>58639521721</x:v>
      </x:c>
      <x:c r="E142" s="18" t="str">
        <x:v>OCC_Exp_SNV</x:v>
      </x:c>
      <x:c r="F142" s="19" t="d">
        <x:v>2022-09-30T00:00:00.000Z</x:v>
      </x:c>
      <x:c r="G142" s="24" t="n">
        <x:v>14441065.25</x:v>
      </x:c>
    </x:row>
    <x:row r="143" ht="19" customHeight="1">
      <x:c r="A143" s="18" t="str">
        <x:v>Asset_SNV</x:v>
      </x:c>
      <x:c r="B143" s="19" t="d">
        <x:v>2022-10-31T00:00:00.000Z</x:v>
      </x:c>
      <x:c r="C143" s="20" t="n">
        <x:v>59508274179</x:v>
      </x:c>
      <x:c r="E143" s="18" t="str">
        <x:v>OCC_Exp_SNV</x:v>
      </x:c>
      <x:c r="F143" s="19" t="d">
        <x:v>2022-10-31T00:00:00.000Z</x:v>
      </x:c>
      <x:c r="G143" s="24" t="n">
        <x:v>14896119.51</x:v>
      </x:c>
    </x:row>
    <x:row r="144" ht="19" customHeight="1">
      <x:c r="A144" s="18" t="str">
        <x:v>Asset_SNV</x:v>
      </x:c>
      <x:c r="B144" s="19" t="d">
        <x:v>2022-11-30T00:00:00.000Z</x:v>
      </x:c>
      <x:c r="C144" s="20" t="n">
        <x:v>61275100534</x:v>
      </x:c>
      <x:c r="E144" s="18" t="str">
        <x:v>OCC_Exp_SNV</x:v>
      </x:c>
      <x:c r="F144" s="19" t="d">
        <x:v>2022-11-30T00:00:00.000Z</x:v>
      </x:c>
      <x:c r="G144" s="24" t="n">
        <x:v>15560942.42</x:v>
      </x:c>
    </x:row>
    <x:row r="145" ht="19" customHeight="1">
      <x:c r="A145" s="18" t="str">
        <x:v>Asset_SNV</x:v>
      </x:c>
      <x:c r="B145" s="19" t="d">
        <x:v>2022-12-31T00:00:00.000Z</x:v>
      </x:c>
      <x:c r="C145" s="20" t="n">
        <x:v>59731377638</x:v>
      </x:c>
      <x:c r="E145" s="18" t="str">
        <x:v>OCC_Exp_SNV</x:v>
      </x:c>
      <x:c r="F145" s="19" t="d">
        <x:v>2022-12-31T00:00:00.000Z</x:v>
      </x:c>
      <x:c r="G145" s="24" t="n">
        <x:v>14734816.47</x:v>
      </x:c>
    </x:row>
    <x:row r="146" ht="19" customHeight="1">
      <x:c r="A146" s="18" t="str">
        <x:v>Asset_SNV</x:v>
      </x:c>
      <x:c r="B146" s="19" t="d">
        <x:v>2023-01-31T00:00:00.000Z</x:v>
      </x:c>
      <x:c r="C146" s="20" t="n">
        <x:v>59728767252</x:v>
      </x:c>
      <x:c r="E146" s="18" t="str">
        <x:v>OCC_Exp_SNV</x:v>
      </x:c>
      <x:c r="F146" s="19" t="d">
        <x:v>2023-01-31T00:00:00.000Z</x:v>
      </x:c>
      <x:c r="G146" s="24" t="n">
        <x:v>14615248.97</x:v>
      </x:c>
    </x:row>
    <x:row r="147" ht="19" customHeight="1">
      <x:c r="A147" s="18" t="str">
        <x:v>Asset_SNV</x:v>
      </x:c>
      <x:c r="B147" s="19" t="d">
        <x:v>2023-02-28T00:00:00.000Z</x:v>
      </x:c>
      <x:c r="C147" s="20" t="n">
        <x:v>60672593397</x:v>
      </x:c>
      <x:c r="E147" s="18" t="str">
        <x:v>OCC_Exp_SNV</x:v>
      </x:c>
      <x:c r="F147" s="19" t="d">
        <x:v>2023-02-28T00:00:00.000Z</x:v>
      </x:c>
      <x:c r="G147" s="24" t="n">
        <x:v>13873975.66</x:v>
      </x:c>
    </x:row>
    <x:row r="148" ht="19" customHeight="1">
      <x:c r="A148" s="18" t="str">
        <x:v>Asset_SNV</x:v>
      </x:c>
      <x:c r="B148" s="19" t="d">
        <x:v>2023-03-31T00:00:00.000Z</x:v>
      </x:c>
      <x:c r="C148" s="20" t="n">
        <x:v>61840025034</x:v>
      </x:c>
      <x:c r="E148" s="18" t="str">
        <x:v>OCC_Exp_SNV</x:v>
      </x:c>
      <x:c r="F148" s="19" t="d">
        <x:v>2023-03-31T00:00:00.000Z</x:v>
      </x:c>
      <x:c r="G148" s="24" t="n">
        <x:v>14370979.11</x:v>
      </x:c>
    </x:row>
    <x:row r="149" ht="19" customHeight="1">
      <x:c r="A149" s="18" t="str">
        <x:v>Asset_SNV</x:v>
      </x:c>
      <x:c r="B149" s="19" t="d">
        <x:v>2023-04-30T00:00:00.000Z</x:v>
      </x:c>
      <x:c r="C149" s="20" t="n">
        <x:v>60733700652</x:v>
      </x:c>
      <x:c r="E149" s="18" t="str">
        <x:v>OCC_Exp_SNV</x:v>
      </x:c>
      <x:c r="F149" s="19" t="d">
        <x:v>2023-04-30T00:00:00.000Z</x:v>
      </x:c>
      <x:c r="G149" s="24" t="n">
        <x:v>13591550.88</x:v>
      </x:c>
    </x:row>
    <x:row r="150" ht="19" customHeight="1">
      <x:c r="A150" s="18" t="str">
        <x:v>Asset_SNV</x:v>
      </x:c>
      <x:c r="B150" s="19" t="d">
        <x:v>2023-05-31T00:00:00.000Z</x:v>
      </x:c>
      <x:c r="C150" s="20" t="n">
        <x:v>61748607299</x:v>
      </x:c>
      <x:c r="E150" s="18" t="str">
        <x:v>OCC_Exp_SNV</x:v>
      </x:c>
      <x:c r="F150" s="19" t="d">
        <x:v>2023-05-31T00:00:00.000Z</x:v>
      </x:c>
      <x:c r="G150" s="24" t="n">
        <x:v>14282303.25</x:v>
      </x:c>
    </x:row>
    <x:row r="151" ht="19" customHeight="1">
      <x:c r="A151" s="18" t="str">
        <x:v>Asset_SNV</x:v>
      </x:c>
      <x:c r="B151" s="19" t="d">
        <x:v>2023-06-30T00:00:00.000Z</x:v>
      </x:c>
      <x:c r="C151" s="20" t="n">
        <x:v>60655591205</x:v>
      </x:c>
      <x:c r="E151" s="18" t="str">
        <x:v>OCC_Exp_SNV</x:v>
      </x:c>
      <x:c r="F151" s="19" t="d">
        <x:v>2023-06-30T00:00:00.000Z</x:v>
      </x:c>
      <x:c r="G151" s="24" t="n">
        <x:v>14911135.37</x:v>
      </x:c>
    </x:row>
    <x:row r="152" ht="19" customHeight="1">
      <x:c r="A152" s="18" t="str">
        <x:v>Asset_SNV</x:v>
      </x:c>
      <x:c r="B152" s="19" t="d">
        <x:v>2023-07-31T00:00:00.000Z</x:v>
      </x:c>
      <x:c r="C152" s="20" t="n">
        <x:v>60167419587</x:v>
      </x:c>
      <x:c r="E152" s="18" t="str">
        <x:v>OCC_Exp_SNV</x:v>
      </x:c>
      <x:c r="F152" s="19" t="d">
        <x:v>2023-07-31T00:00:00.000Z</x:v>
      </x:c>
      <x:c r="G152" s="24" t="n">
        <x:v>15259867.03</x:v>
      </x:c>
    </x:row>
    <x:row r="153" ht="19" customHeight="1">
      <x:c r="A153" s="18" t="str">
        <x:v>Asset_SNV</x:v>
      </x:c>
      <x:c r="B153" s="19" t="d">
        <x:v>2023-08-31T00:00:00.000Z</x:v>
      </x:c>
      <x:c r="C153" s="20" t="n">
        <x:v>60235597440</x:v>
      </x:c>
      <x:c r="E153" s="18" t="str">
        <x:v>OCC_Exp_SNV</x:v>
      </x:c>
      <x:c r="F153" s="19" t="d">
        <x:v>2023-08-31T00:00:00.000Z</x:v>
      </x:c>
      <x:c r="G153" s="24" t="n">
        <x:v>15403530.46</x:v>
      </x:c>
    </x:row>
    <x:row r="154" ht="19" customHeight="1">
      <x:c r="A154" s="18" t="str">
        <x:v>Asset_SNV</x:v>
      </x:c>
      <x:c r="B154" s="19" t="d">
        <x:v>2023-09-30T00:00:00.000Z</x:v>
      </x:c>
      <x:c r="C154" s="20" t="n">
        <x:v>59342929688</x:v>
      </x:c>
      <x:c r="E154" s="18" t="str">
        <x:v>OCC_Exp_SNV</x:v>
      </x:c>
      <x:c r="F154" s="19" t="d">
        <x:v>2023-09-30T00:00:00.000Z</x:v>
      </x:c>
      <x:c r="G154" s="24" t="n">
        <x:v>15126431.92</x:v>
      </x:c>
    </x:row>
    <x:row r="155" ht="19" customHeight="1">
      <x:c r="A155" s="18" t="str">
        <x:v>Asset_SNV</x:v>
      </x:c>
      <x:c r="B155" s="19" t="d">
        <x:v>2023-10-31T00:00:00.000Z</x:v>
      </x:c>
      <x:c r="C155" s="20" t="n">
        <x:v>59912911943</x:v>
      </x:c>
      <x:c r="E155" s="18" t="str">
        <x:v>OCC_Exp_SNV</x:v>
      </x:c>
      <x:c r="F155" s="19" t="d">
        <x:v>2023-10-31T00:00:00.000Z</x:v>
      </x:c>
      <x:c r="G155" s="24" t="n">
        <x:v>15384937.73</x:v>
      </x:c>
    </x:row>
    <x:row r="156" ht="19" customHeight="1">
      <x:c r="A156" s="18" t="str">
        <x:v>Asset_SNV</x:v>
      </x:c>
      <x:c r="B156" s="19" t="d">
        <x:v>2023-11-30T00:00:00.000Z</x:v>
      </x:c>
      <x:c r="C156" s="20" t="n">
        <x:v>61355635381</x:v>
      </x:c>
      <x:c r="E156" s="18" t="str">
        <x:v>OCC_Exp_SNV</x:v>
      </x:c>
      <x:c r="F156" s="19" t="d">
        <x:v>2023-11-30T00:00:00.000Z</x:v>
      </x:c>
      <x:c r="G156" s="24" t="n">
        <x:v>16282710.13</x:v>
      </x:c>
    </x:row>
    <x:row r="157" ht="19" customHeight="1">
      <x:c r="A157" s="18" t="str">
        <x:v>Asset_SNV</x:v>
      </x:c>
      <x:c r="B157" s="19" t="d">
        <x:v>2023-12-31T00:00:00.000Z</x:v>
      </x:c>
      <x:c r="C157" s="20" t="n">
        <x:v>59809533747</x:v>
      </x:c>
      <x:c r="E157" s="18" t="str">
        <x:v>OCC_Exp_SNV</x:v>
      </x:c>
      <x:c r="F157" s="19" t="d">
        <x:v>2023-12-31T00:00:00.000Z</x:v>
      </x:c>
      <x:c r="G157" s="24" t="n">
        <x:v>16478054.96</x:v>
      </x:c>
    </x:row>
    <x:row r="158" ht="19" customHeight="1">
      <x:c r="A158" s="18" t="str">
        <x:v>Asset_SNV</x:v>
      </x:c>
      <x:c r="B158" s="19" t="d">
        <x:v>2024-01-31T00:00:00.000Z</x:v>
      </x:c>
      <x:c r="C158" s="20" t="n">
        <x:v>59797607681</x:v>
      </x:c>
      <x:c r="E158" s="18" t="str">
        <x:v>OCC_Exp_SNV</x:v>
      </x:c>
      <x:c r="F158" s="19" t="d">
        <x:v>2024-01-31T00:00:00.000Z</x:v>
      </x:c>
      <x:c r="G158" s="24" t="n">
        <x:v>15415391.51</x:v>
      </x:c>
    </x:row>
    <x:row r="159" ht="19" customHeight="1">
      <x:c r="A159" s="18" t="str">
        <x:v>Asset_SNV</x:v>
      </x:c>
      <x:c r="B159" s="19" t="d">
        <x:v>2024-02-29T00:00:00.000Z</x:v>
      </x:c>
      <x:c r="C159" s="20" t="n">
        <x:v>59350133351</x:v>
      </x:c>
      <x:c r="E159" s="18" t="str">
        <x:v>OCC_Exp_SNV</x:v>
      </x:c>
      <x:c r="F159" s="19" t="d">
        <x:v>2024-02-29T00:00:00.000Z</x:v>
      </x:c>
      <x:c r="G159" s="24" t="n">
        <x:v>15152459.22</x:v>
      </x:c>
    </x:row>
    <x:row r="160" ht="19" customHeight="1">
      <x:c r="A160" s="18" t="str">
        <x:v>Asset_SNV</x:v>
      </x:c>
      <x:c r="B160" s="19" t="d">
        <x:v>2024-03-31T00:00:00.000Z</x:v>
      </x:c>
      <x:c r="C160" s="20" t="n">
        <x:v>59835119683</x:v>
      </x:c>
      <x:c r="E160" s="18" t="str">
        <x:v>OCC_Exp_SNV</x:v>
      </x:c>
      <x:c r="F160" s="19" t="d">
        <x:v>2024-03-31T00:00:00.000Z</x:v>
      </x:c>
      <x:c r="G160" s="24" t="n">
        <x:v>16240238.4</x:v>
      </x:c>
    </x:row>
    <x:row r="161" ht="19" customHeight="1">
      <x:c r="A161" s="18" t="str">
        <x:v>Asset_SNV</x:v>
      </x:c>
      <x:c r="B161" s="19" t="d">
        <x:v>2024-04-30T00:00:00.000Z</x:v>
      </x:c>
      <x:c r="C161" s="20" t="n">
        <x:v>60392410927</x:v>
      </x:c>
      <x:c r="E161" s="18" t="str">
        <x:v>OCC_Exp_SNV</x:v>
      </x:c>
      <x:c r="F161" s="19" t="d">
        <x:v>2024-04-30T00:00:00.000Z</x:v>
      </x:c>
      <x:c r="G161" s="24" t="n">
        <x:v>15650613.29</x:v>
      </x:c>
    </x:row>
    <x:row r="162" ht="19" customHeight="1">
      <x:c r="A162" s="18" t="str">
        <x:v>Asset_SNV</x:v>
      </x:c>
      <x:c r="B162" s="19" t="d">
        <x:v>2024-05-31T00:00:00.000Z</x:v>
      </x:c>
      <x:c r="C162" s="20" t="n">
        <x:v>59603795803</x:v>
      </x:c>
      <x:c r="E162" s="18" t="str">
        <x:v>OCC_Exp_SNV</x:v>
      </x:c>
      <x:c r="F162" s="19" t="d">
        <x:v>2024-05-31T00:00:00.000Z</x:v>
      </x:c>
      <x:c r="G162" s="24" t="n">
        <x:v>15656478.42</x:v>
      </x:c>
    </x:row>
    <x:row r="163" ht="19" customHeight="1">
      <x:c r="A163" s="18" t="str">
        <x:v>Asset_SNV</x:v>
      </x:c>
      <x:c r="B163" s="19" t="d">
        <x:v>2024-06-30T00:00:00.000Z</x:v>
      </x:c>
      <x:c r="C163" s="20" t="n">
        <x:v>59606342668</x:v>
      </x:c>
      <x:c r="E163" s="18" t="str">
        <x:v>OCC_Exp_SNV</x:v>
      </x:c>
      <x:c r="F163" s="19" t="d">
        <x:v>2024-06-30T00:00:00.000Z</x:v>
      </x:c>
      <x:c r="G163" s="24" t="n">
        <x:v>15108299.56</x:v>
      </x:c>
    </x:row>
    <x:row r="164" ht="19" customHeight="1">
      <x:c r="A164" s="18" t="str">
        <x:v>Asset_SNV</x:v>
      </x:c>
      <x:c r="B164" s="19" t="d">
        <x:v>2024-07-31T00:00:00.000Z</x:v>
      </x:c>
      <x:c r="C164" s="20" t="n">
        <x:v>59567461416</x:v>
      </x:c>
      <x:c r="E164" s="18" t="str">
        <x:v>OCC_Exp_SNV</x:v>
      </x:c>
      <x:c r="F164" s="19" t="d">
        <x:v>2024-07-31T00:00:00.000Z</x:v>
      </x:c>
      <x:c r="G164" s="24" t="n">
        <x:v>15819926.72</x:v>
      </x:c>
    </x:row>
    <x:row r="165" ht="19" customHeight="1">
      <x:c r="A165" s="18" t="str">
        <x:v>Asset_SNV</x:v>
      </x:c>
      <x:c r="B165" s="19" t="d">
        <x:v>2024-08-31T00:00:00.000Z</x:v>
      </x:c>
      <x:c r="C165" s="20" t="n">
        <x:v>59432608100</x:v>
      </x:c>
      <x:c r="E165" s="18" t="str">
        <x:v>OCC_Exp_SNV</x:v>
      </x:c>
      <x:c r="F165" s="19" t="d">
        <x:v>2024-08-31T00:00:00.000Z</x:v>
      </x:c>
      <x:c r="G165" s="24" t="n">
        <x:v>15251600.34</x:v>
      </x:c>
    </x:row>
    <x:row r="166" ht="19" customHeight="1">
      <x:c r="A166" s="18" t="str">
        <x:v>Asset_SNV</x:v>
      </x:c>
      <x:c r="B166" s="19" t="d">
        <x:v>2024-09-30T00:00:00.000Z</x:v>
      </x:c>
      <x:c r="C166" s="20" t="n">
        <x:v>59589628074</x:v>
      </x:c>
      <x:c r="E166" s="18" t="str">
        <x:v>OCC_Exp_SNV</x:v>
      </x:c>
      <x:c r="F166" s="19" t="d">
        <x:v>2024-09-30T00:00:00.000Z</x:v>
      </x:c>
      <x:c r="G166" s="24" t="n">
        <x:v>15904636.45</x:v>
      </x:c>
    </x:row>
    <x:row r="167" ht="19" customHeight="1">
      <x:c r="A167" s="18" t="str">
        <x:v>Asset_SNV</x:v>
      </x:c>
      <x:c r="B167" s="19" t="d">
        <x:v>2024-10-31T00:00:00.000Z</x:v>
      </x:c>
      <x:c r="C167" s="20" t="n">
        <x:v>59633839651</x:v>
      </x:c>
      <x:c r="E167" s="18" t="str">
        <x:v>OCC_Exp_SNV</x:v>
      </x:c>
      <x:c r="F167" s="19" t="d">
        <x:v>2024-10-31T00:00:00.000Z</x:v>
      </x:c>
      <x:c r="G167" s="24" t="n">
        <x:v>15603228.12</x:v>
      </x:c>
    </x:row>
    <x:row r="168" ht="19" customHeight="1">
      <x:c r="A168" s="18" t="str">
        <x:v>Asset_SNV</x:v>
      </x:c>
      <x:c r="B168" s="19" t="d">
        <x:v>2024-11-30T00:00:00.000Z</x:v>
      </x:c>
      <x:c r="C168" s="20" t="n">
        <x:v>60752557026</x:v>
      </x:c>
      <x:c r="E168" s="18" t="str">
        <x:v>OCC_Exp_SNV</x:v>
      </x:c>
      <x:c r="F168" s="19" t="d">
        <x:v>2024-11-30T00:00:00.000Z</x:v>
      </x:c>
      <x:c r="G168" s="24" t="n">
        <x:v>15489420.79</x:v>
      </x:c>
    </x:row>
    <x:row r="169" ht="19" customHeight="1">
      <x:c r="A169" s="18" t="str">
        <x:v>Asset_SNV</x:v>
      </x:c>
      <x:c r="B169" s="19" t="d">
        <x:v>2024-12-31T00:00:00.000Z</x:v>
      </x:c>
      <x:c r="C169" s="20" t="n">
        <x:v>60233643892</x:v>
      </x:c>
      <x:c r="E169" s="18" t="str">
        <x:v>OCC_Exp_SNV</x:v>
      </x:c>
      <x:c r="F169" s="19" t="d">
        <x:v>2024-12-31T00:00:00.000Z</x:v>
      </x:c>
      <x:c r="G169" s="24" t="n">
        <x:v>16158704.52</x:v>
      </x:c>
    </x:row>
    <x:row r="170" ht="19" customHeight="1">
      <x:c r="A170" s="18" t="str">
        <x:v>Asset_SNV</x:v>
      </x:c>
      <x:c r="B170" s="19" t="d">
        <x:v>2025-01-31T00:00:00.000Z</x:v>
      </x:c>
      <x:c r="C170" s="20" t="n">
        <x:v>60267999812</x:v>
      </x:c>
      <x:c r="E170" s="18" t="str">
        <x:v>OCC_Exp_SNV</x:v>
      </x:c>
      <x:c r="F170" s="19" t="d">
        <x:v>2025-01-31T00:00:00.000Z</x:v>
      </x:c>
      <x:c r="G170" s="24" t="n">
        <x:v>16330319.67</x:v>
      </x:c>
    </x:row>
    <x:row r="171" ht="19" customHeight="1">
      <x:c r="A171" s="18" t="str">
        <x:v>Asset_SNV</x:v>
      </x:c>
      <x:c r="B171" s="19" t="d">
        <x:v>2025-02-28T00:00:00.000Z</x:v>
      </x:c>
      <x:c r="C171" s="20" t="n">
        <x:v>60032871108</x:v>
      </x:c>
      <x:c r="E171" s="18" t="str">
        <x:v>OCC_Exp_SNV</x:v>
      </x:c>
      <x:c r="F171" s="19" t="d">
        <x:v>2025-02-28T00:00:00.000Z</x:v>
      </x:c>
      <x:c r="G171" s="24" t="n">
        <x:v>15503720.17</x:v>
      </x:c>
    </x:row>
    <x:row r="172" ht="19" customHeight="1">
      <x:c r="A172" s="18" t="str">
        <x:v>Asset_SNV</x:v>
      </x:c>
      <x:c r="B172" s="19" t="d">
        <x:v>2025-03-31T00:00:00.000Z</x:v>
      </x:c>
      <x:c r="C172" s="20" t="n">
        <x:v>60339121305</x:v>
      </x:c>
      <x:c r="E172" s="18" t="str">
        <x:v>OCC_Exp_SNV</x:v>
      </x:c>
      <x:c r="F172" s="19" t="d">
        <x:v>2025-03-31T00:00:00.000Z</x:v>
      </x:c>
      <x:c r="G172" s="24" t="n">
        <x:v>16818274.65</x:v>
      </x:c>
    </x:row>
    <x:row r="173" ht="19" customHeight="1">
      <x:c r="A173" s="18" t="str">
        <x:v>Asset_SNV</x:v>
      </x:c>
      <x:c r="B173" s="19" t="d">
        <x:v>2025-04-30T00:00:00.000Z</x:v>
      </x:c>
      <x:c r="C173" s="20" t="n">
        <x:v>59939796767</x:v>
      </x:c>
      <x:c r="E173" s="18" t="str">
        <x:v>OCC_Exp_SNV</x:v>
      </x:c>
      <x:c r="F173" s="19" t="d">
        <x:v>2025-04-30T00:00:00.000Z</x:v>
      </x:c>
      <x:c r="G173" s="24" t="n">
        <x:v>16030650.16</x:v>
      </x:c>
    </x:row>
    <x:row r="174" ht="19" customHeight="1">
      <x:c r="A174" s="18" t="str">
        <x:v>Asset_SNV</x:v>
      </x:c>
      <x:c r="B174" s="19" t="d">
        <x:v>2025-05-31T00:00:00.000Z</x:v>
      </x:c>
      <x:c r="C174" s="20" t="n">
        <x:v>60280153520</x:v>
      </x:c>
      <x:c r="E174" s="18" t="str">
        <x:v>OCC_Exp_SNV</x:v>
      </x:c>
      <x:c r="F174" s="19" t="d">
        <x:v>2025-05-31T00:00:00.000Z</x:v>
      </x:c>
      <x:c r="G174" s="24" t="n">
        <x:v>16252074.1</x:v>
      </x:c>
    </x:row>
    <x:row r="175" ht="19" customHeight="1">
      <x:c r="A175" s="18" t="str">
        <x:v>Asset_SNV</x:v>
      </x:c>
      <x:c r="B175" s="19" t="d">
        <x:v>2025-06-30T00:00:00.000Z</x:v>
      </x:c>
      <x:c r="C175" s="20" t="n">
        <x:v>61056784531</x:v>
      </x:c>
      <x:c r="E175" s="18" t="str">
        <x:v>OCC_Exp_SNV</x:v>
      </x:c>
      <x:c r="F175" s="19" t="d">
        <x:v>2025-06-30T00:00:00.000Z</x:v>
      </x:c>
      <x:c r="G175" s="24" t="n">
        <x:v>16306399.87</x:v>
      </x:c>
    </x:row>
    <x:row r="176" ht="19" customHeight="1">
      <x:c r="A176" s="18" t="str">
        <x:v>Asset_SNV</x:v>
      </x:c>
      <x:c r="B176" s="19" t="d">
        <x:v>2025-07-31T00:00:00.000Z</x:v>
      </x:c>
      <x:c r="C176" s="20" t="n">
        <x:v>60577968254</x:v>
      </x:c>
      <x:c r="E176" s="18" t="str">
        <x:v>OCC_Exp_SNV</x:v>
      </x:c>
      <x:c r="F176" s="19" t="d">
        <x:v>2025-07-31T00:00:00.000Z</x:v>
      </x:c>
      <x:c r="G176" s="24" t="n">
        <x:v>16529332.57</x:v>
      </x:c>
    </x:row>
    <x:row r="177" ht="19" customHeight="1">
      <x:c r="A177" s="18" t="str">
        <x:v>Asset_SNV</x:v>
      </x:c>
      <x:c r="B177" s="19" t="d">
        <x:v>2025-08-31T00:00:00.000Z</x:v>
      </x:c>
      <x:c r="C177" s="20" t="n">
        <x:v>62038780071</x:v>
      </x:c>
      <x:c r="E177" s="18" t="str">
        <x:v>OCC_Exp_SNV</x:v>
      </x:c>
      <x:c r="F177" s="19" t="d">
        <x:v>2025-08-31T00:00:00.000Z</x:v>
      </x:c>
      <x:c r="G177" s="24" t="n">
        <x:v>16392731.95</x:v>
      </x:c>
    </x:row>
    <x:row r="178" ht="19" customHeight="1">
      <x:c r="A178" s="18" t="str">
        <x:v>Asset_SNV</x:v>
      </x:c>
      <x:c r="B178" s="19" t="d">
        <x:v>2025-09-30T00:00:00.000Z</x:v>
      </x:c>
      <x:c r="C178" s="20" t="n">
        <x:v>60485174522</x:v>
      </x:c>
      <x:c r="E178" s="18" t="str">
        <x:v>OCC_Exp_SNV</x:v>
      </x:c>
      <x:c r="F178" s="19" t="d">
        <x:v>2025-09-30T00:00:00.000Z</x:v>
      </x:c>
      <x:c r="G178" s="24" t="n">
        <x:v>16166826.63</x:v>
      </x:c>
    </x:row>
    <x:row r="179" ht="19" customHeight="1">
      <x:c r="A179" s="18" t="str">
        <x:v>Asset_SNV</x:v>
      </x:c>
      <x:c r="B179" s="19" t="d">
        <x:v>2025-10-31T00:00:00.000Z</x:v>
      </x:c>
      <x:c r="C179" s="20" t="n">
        <x:v>60650376971</x:v>
      </x:c>
      <x:c r="E179" s="18" t="str">
        <x:v>OCC_Exp_SNV</x:v>
      </x:c>
      <x:c r="F179" s="19" t="d">
        <x:v>2025-10-31T00:00:00.000Z</x:v>
      </x:c>
      <x:c r="G179" s="24" t="n">
        <x:v>16970147.39</x:v>
      </x:c>
    </x:row>
    <x:row r="180" ht="19" customHeight="1">
      <x:c r="A180" s="18" t="str">
        <x:v>Asset_SNV</x:v>
      </x:c>
      <x:c r="B180" s="19" t="d">
        <x:v>2025-11-30T00:00:00.000Z</x:v>
      </x:c>
      <x:c r="C180" s="20" t="n">
        <x:v>62801734050</x:v>
      </x:c>
      <x:c r="E180" s="18" t="str">
        <x:v>OCC_Exp_SNV</x:v>
      </x:c>
      <x:c r="F180" s="19" t="d">
        <x:v>2025-11-30T00:00:00.000Z</x:v>
      </x:c>
      <x:c r="G180" s="24" t="n">
        <x:v>16099367.62</x:v>
      </x:c>
    </x:row>
    <x:row r="181" ht="19" customHeight="1">
      <x:c r="A181" s="21" t="str">
        <x:v>Asset_SNV</x:v>
      </x:c>
      <x:c r="B181" s="22" t="d">
        <x:v>2025-12-31T00:00:00.000Z</x:v>
      </x:c>
      <x:c r="C181" s="23" t="n">
        <x:v>61358837185</x:v>
      </x:c>
      <x:c r="E181" s="21" t="str">
        <x:v>OCC_Exp_SNV</x:v>
      </x:c>
      <x:c r="F181" s="22" t="d">
        <x:v>2025-12-31T00:00:00.000Z</x:v>
      </x:c>
      <x:c r="G181" s="25" t="n">
        <x:v>16385248.85</x:v>
      </x:c>
    </x:row>
  </x:sheetData>
  <x:pageMargins left="0.7" right="0.7" top="0.75" bottom="0.75" header="0.3" footer="0.3"/>
  <x:tableParts count="2">
    <x:tablePart xmlns:r="http://schemas.openxmlformats.org/officeDocument/2006/relationships" r:id="R25589588e26f430c"/>
    <x:tablePart xmlns:r="http://schemas.openxmlformats.org/officeDocument/2006/relationships" r:id="R5afc7da3a85f4f76"/>
  </x:tableParts>
</x:worksheet>
</file>

<file path=xl/worksheets/sheet2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2" hidden="0" customWidth="1"/>
    <x:col min="2" max="2" width="13" hidden="0" customWidth="1"/>
    <x:col min="3" max="3" width="19" hidden="0" customWidth="1"/>
    <x:col min="4" max="4" width="22" hidden="0" customWidth="1"/>
    <x:col min="5" max="5" width="23" hidden="0" customWidth="1"/>
    <x:col min="6" max="6" width="25" hidden="0" customWidth="1"/>
    <x:col min="7" max="7" width="18" hidden="0" customWidth="1"/>
    <x:col min="8" max="8" width="23" hidden="0" customWidth="1"/>
    <x:col min="9" max="9" width="27" hidden="0" customWidth="1"/>
    <x:col min="10" max="10" width="17" hidden="0" customWidth="1"/>
    <x:col min="11" max="11" width="22" hidden="0" customWidth="1"/>
  </x:cols>
  <x:sheetData>
    <x:row r="2" ht="24" customHeight="1">
      <x:c r="A2" s="88" t="str">
        <x:v>季度分析数据（OCC 为季度内三个月合计）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3" customHeight="1">
      <x:c r="A3" s="89" t="str">
        <x:v>口径：OCC_Exp_SNV 为季度内 3 个月合计；主口径为 OCC 合计 ÷ Asset 三个月平均，辅助口径为 OCC 合计 ÷ Asset 季度末；SNV_HC 为季度末员工人数。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6" customHeight="1">
      <x:c r="A5" s="62" t="str">
        <x:v>季度</x:v>
      </x:c>
      <x:c r="B5" s="62" t="str">
        <x:v>季度末日期</x:v>
      </x:c>
      <x:c r="C5" s="62" t="str">
        <x:v>Asset_SNV 季度末</x:v>
      </x:c>
      <x:c r="D5" s="62" t="str">
        <x:v>Asset_SNV 三个月平均</x:v>
      </x:c>
      <x:c r="E5" s="62" t="str">
        <x:v>OCC_Exp_SNV 三个月合计</x:v>
      </x:c>
      <x:c r="F5" s="62" t="str">
        <x:v>OCC_Exp_SNV 季度末（参考）</x:v>
      </x:c>
      <x:c r="G5" s="62" t="str">
        <x:v>SNV_HC（季度末）</x:v>
      </x:c>
      <x:c r="H5" s="62" t="str">
        <x:v>OCC合计 / 季度末Asset（bps）</x:v>
      </x:c>
      <x:c r="I5" s="62" t="str">
        <x:v>OCC合计 / 三个月平均Asset（bps）</x:v>
      </x:c>
      <x:c r="J5" s="62" t="str">
        <x:v>OCC合计 / HC</x:v>
      </x:c>
      <x:c r="K5" s="62" t="str">
        <x:v>三个月平均Asset / HC</x:v>
      </x:c>
    </x:row>
    <x:row r="6" ht="20" customHeight="1">
      <x:c r="A6" s="90" t="str">
        <x:v>2011 Q1</x:v>
      </x:c>
      <x:c r="B6" s="91" t="n">
        <x:f>Data!B4</x:f>
        <x:v>40633</x:v>
      </x:c>
      <x:c r="C6" s="92" t="n">
        <x:f>Data!C4</x:f>
        <x:v>28673563987</x:v>
      </x:c>
      <x:c r="D6" s="92" t="n">
        <x:f>AVERAGE(Data!C2:C4)</x:f>
        <x:v>29241251017.666668</x:v>
      </x:c>
      <x:c r="E6" s="92" t="n">
        <x:f>SUM(Data!G2:G4)</x:f>
        <x:v>29834475.740000002</x:v>
      </x:c>
      <x:c r="F6" s="92" t="n">
        <x:f>Data!G4</x:f>
        <x:v>10144156.82</x:v>
      </x:c>
      <x:c r="G6" s="93" t="n">
        <x:f>Comp!B2</x:f>
        <x:v>5362</x:v>
      </x:c>
      <x:c r="H6" s="94" t="n">
        <x:f>E6/C6*10000</x:f>
        <x:v>10.404871802307635</x:v>
      </x:c>
      <x:c r="I6" s="94" t="n">
        <x:f>E6/D6*10000</x:f>
        <x:v>10.20287255219516</x:v>
      </x:c>
      <x:c r="J6" s="95" t="n">
        <x:f>E6/G6</x:f>
        <x:v>5564.057392763894</x:v>
      </x:c>
      <x:c r="K6" s="95" t="n">
        <x:f>D6/G6</x:f>
        <x:v>5453422.42030337</x:v>
      </x:c>
    </x:row>
    <x:row r="7" ht="20" customHeight="1">
      <x:c r="A7" s="96" t="str">
        <x:v>2011 Q2</x:v>
      </x:c>
      <x:c r="B7" s="97" t="n">
        <x:f>Data!B7</x:f>
        <x:v>40724</x:v>
      </x:c>
      <x:c r="C7" s="98" t="n">
        <x:f>Data!C7</x:f>
        <x:v>28309645903</x:v>
      </x:c>
      <x:c r="D7" s="98" t="n">
        <x:f>AVERAGE(Data!C5:C7)</x:f>
        <x:v>28472287938.666668</x:v>
      </x:c>
      <x:c r="E7" s="98" t="n">
        <x:f>SUM(Data!G5:G7)</x:f>
        <x:v>28882277.560000002</x:v>
      </x:c>
      <x:c r="F7" s="98" t="n">
        <x:f>Data!G7</x:f>
        <x:v>9802970.07</x:v>
      </x:c>
      <x:c r="G7" s="99" t="n">
        <x:f>Comp!B3</x:f>
        <x:v>5260</x:v>
      </x:c>
      <x:c r="H7" s="100" t="n">
        <x:f>E7/C7*10000</x:f>
        <x:v>10.20227439755413</x:v>
      </x:c>
      <x:c r="I7" s="100" t="n">
        <x:f>E7/D7*10000</x:f>
        <x:v>10.143996022454012</x:v>
      </x:c>
      <x:c r="J7" s="101" t="n">
        <x:f>E7/G7</x:f>
        <x:v>5490.927292775666</x:v>
      </x:c>
      <x:c r="K7" s="101" t="n">
        <x:f>D7/G7</x:f>
        <x:v>5412982.497845374</x:v>
      </x:c>
    </x:row>
    <x:row r="8" ht="20" customHeight="1">
      <x:c r="A8" s="96" t="str">
        <x:v>2011 Q3</x:v>
      </x:c>
      <x:c r="B8" s="97" t="n">
        <x:f>Data!B10</x:f>
        <x:v>40816</x:v>
      </x:c>
      <x:c r="C8" s="98" t="n">
        <x:f>Data!C10</x:f>
        <x:v>28250032786</x:v>
      </x:c>
      <x:c r="D8" s="98" t="n">
        <x:f>AVERAGE(Data!C8:C10)</x:f>
        <x:v>28309474987.666668</x:v>
      </x:c>
      <x:c r="E8" s="98" t="n">
        <x:f>SUM(Data!G8:G10)</x:f>
        <x:v>27981430.62</x:v>
      </x:c>
      <x:c r="F8" s="98" t="n">
        <x:f>Data!G10</x:f>
        <x:v>9180728.43</x:v>
      </x:c>
      <x:c r="G8" s="99" t="n">
        <x:f>Comp!B4</x:f>
        <x:v>5146</x:v>
      </x:c>
      <x:c r="H8" s="100" t="n">
        <x:f>E8/C8*10000</x:f>
        <x:v>9.904919697603638</x:v>
      </x:c>
      <x:c r="I8" s="100" t="n">
        <x:f>E8/D8*10000</x:f>
        <x:v>9.884122058847936</x:v>
      </x:c>
      <x:c r="J8" s="101" t="n">
        <x:f>E8/G8</x:f>
        <x:v>5437.51080839487</x:v>
      </x:c>
      <x:c r="K8" s="101" t="n">
        <x:f>D8/G8</x:f>
        <x:v>5501258.256445136</x:v>
      </x:c>
    </x:row>
    <x:row r="9" ht="20" customHeight="1">
      <x:c r="A9" s="96" t="str">
        <x:v>2011 Q4</x:v>
      </x:c>
      <x:c r="B9" s="97" t="n">
        <x:f>Data!B13</x:f>
        <x:v>40908</x:v>
      </x:c>
      <x:c r="C9" s="98" t="n">
        <x:f>Data!C13</x:f>
        <x:v>27159281995</x:v>
      </x:c>
      <x:c r="D9" s="98" t="n">
        <x:f>AVERAGE(Data!C11:C13)</x:f>
        <x:v>27477235667.666668</x:v>
      </x:c>
      <x:c r="E9" s="98" t="n">
        <x:f>SUM(Data!G11:G13)</x:f>
        <x:v>27338413.810000002</x:v>
      </x:c>
      <x:c r="F9" s="98" t="n">
        <x:f>Data!G13</x:f>
        <x:v>8937839.96</x:v>
      </x:c>
      <x:c r="G9" s="99" t="n">
        <x:f>Comp!B5</x:f>
        <x:v>5086</x:v>
      </x:c>
      <x:c r="H9" s="100" t="n">
        <x:f>E9/C9*10000</x:f>
        <x:v>10.065956020130791</x:v>
      </x:c>
      <x:c r="I9" s="100" t="n">
        <x:f>E9/D9*10000</x:f>
        <x:v>9.94947750226926</x:v>
      </x:c>
      <x:c r="J9" s="101" t="n">
        <x:f>E9/G9</x:f>
        <x:v>5375.22882618954</x:v>
      </x:c>
      <x:c r="K9" s="101" t="n">
        <x:f>D9/G9</x:f>
        <x:v>5402523.725455499</x:v>
      </x:c>
    </x:row>
    <x:row r="10" ht="20" customHeight="1">
      <x:c r="A10" s="96" t="str">
        <x:v>2012 Q1</x:v>
      </x:c>
      <x:c r="B10" s="97" t="n">
        <x:f>Data!B16</x:f>
        <x:v>40999</x:v>
      </x:c>
      <x:c r="C10" s="98" t="n">
        <x:f>Data!C16</x:f>
        <x:v>27061780794</x:v>
      </x:c>
      <x:c r="D10" s="98" t="n">
        <x:f>AVERAGE(Data!C14:C16)</x:f>
        <x:v>26950417985.666668</x:v>
      </x:c>
      <x:c r="E10" s="98" t="n">
        <x:f>SUM(Data!G14:G16)</x:f>
        <x:v>26706311.96</x:v>
      </x:c>
      <x:c r="F10" s="98" t="n">
        <x:f>Data!G16</x:f>
        <x:v>8841066.67</x:v>
      </x:c>
      <x:c r="G10" s="99" t="n">
        <x:f>Comp!B6</x:f>
        <x:v>5022</x:v>
      </x:c>
      <x:c r="H10" s="100" t="n">
        <x:f>E10/C10*10000</x:f>
        <x:v>9.868645438854928</x:v>
      </x:c>
      <x:c r="I10" s="100" t="n">
        <x:f>E10/D10*10000</x:f>
        <x:v>9.909424029788148</x:v>
      </x:c>
      <x:c r="J10" s="101" t="n">
        <x:f>E10/G10</x:f>
        <x:v>5317.8637913182</x:v>
      </x:c>
      <x:c r="K10" s="101" t="n">
        <x:f>D10/G10</x:f>
        <x:v>5366471.124186912</x:v>
      </x:c>
    </x:row>
    <x:row r="11" ht="20" customHeight="1">
      <x:c r="A11" s="96" t="str">
        <x:v>2012 Q2</x:v>
      </x:c>
      <x:c r="B11" s="97" t="n">
        <x:f>Data!B19</x:f>
        <x:v>41090</x:v>
      </x:c>
      <x:c r="C11" s="98" t="n">
        <x:f>Data!C19</x:f>
        <x:v>26291412010</x:v>
      </x:c>
      <x:c r="D11" s="98" t="n">
        <x:f>AVERAGE(Data!C17:C19)</x:f>
        <x:v>26509269039.333332</x:v>
      </x:c>
      <x:c r="E11" s="98" t="n">
        <x:f>SUM(Data!G17:G19)</x:f>
        <x:v>26158702.04</x:v>
      </x:c>
      <x:c r="F11" s="98" t="n">
        <x:f>Data!G19</x:f>
        <x:v>8806412.91</x:v>
      </x:c>
      <x:c r="G11" s="99" t="n">
        <x:f>Comp!B7</x:f>
        <x:v>5008</x:v>
      </x:c>
      <x:c r="H11" s="100" t="n">
        <x:f>E11/C11*10000</x:f>
        <x:v>9.949523452772516</x:v>
      </x:c>
      <x:c r="I11" s="100" t="n">
        <x:f>E11/D11*10000</x:f>
        <x:v>9.867756821656162</x:v>
      </x:c>
      <x:c r="J11" s="101" t="n">
        <x:f>E11/G11</x:f>
        <x:v>5223.382995207668</x:v>
      </x:c>
      <x:c r="K11" s="101" t="n">
        <x:f>D11/G11</x:f>
        <x:v>5293384.392838125</x:v>
      </x:c>
    </x:row>
    <x:row r="12" ht="20" customHeight="1">
      <x:c r="A12" s="96" t="str">
        <x:v>2012 Q3</x:v>
      </x:c>
      <x:c r="B12" s="97" t="n">
        <x:f>Data!B22</x:f>
        <x:v>41182</x:v>
      </x:c>
      <x:c r="C12" s="98" t="n">
        <x:f>Data!C22</x:f>
        <x:v>25762259183</x:v>
      </x:c>
      <x:c r="D12" s="98" t="n">
        <x:f>AVERAGE(Data!C20:C22)</x:f>
        <x:v>25945929393.333332</x:v>
      </x:c>
      <x:c r="E12" s="98" t="n">
        <x:f>SUM(Data!G20:G22)</x:f>
        <x:v>26647004.53</x:v>
      </x:c>
      <x:c r="F12" s="98" t="n">
        <x:f>Data!G22</x:f>
        <x:v>9080901.36</x:v>
      </x:c>
      <x:c r="G12" s="99" t="n">
        <x:f>Comp!B8</x:f>
        <x:v>4896</x:v>
      </x:c>
      <x:c r="H12" s="100" t="n">
        <x:f>E12/C12*10000</x:f>
        <x:v>10.343426925688188</x:v>
      </x:c>
      <x:c r="I12" s="100" t="n">
        <x:f>E12/D12*10000</x:f>
        <x:v>10.27020621463913</x:v>
      </x:c>
      <x:c r="J12" s="101" t="n">
        <x:f>E12/G12</x:f>
        <x:v>5442.607134395425</x:v>
      </x:c>
      <x:c r="K12" s="101" t="n">
        <x:f>D12/G12</x:f>
        <x:v>5299413.683278867</x:v>
      </x:c>
    </x:row>
    <x:row r="13" ht="20" customHeight="1">
      <x:c r="A13" s="96" t="str">
        <x:v>2012 Q4</x:v>
      </x:c>
      <x:c r="B13" s="97" t="n">
        <x:f>Data!B25</x:f>
        <x:v>41274</x:v>
      </x:c>
      <x:c r="C13" s="98" t="n">
        <x:f>Data!C25</x:f>
        <x:v>26757940403</x:v>
      </x:c>
      <x:c r="D13" s="98" t="n">
        <x:f>AVERAGE(Data!C23:C25)</x:f>
        <x:v>26138742009.333332</x:v>
      </x:c>
      <x:c r="E13" s="98" t="n">
        <x:f>SUM(Data!G23:G25)</x:f>
        <x:v>26063164.28</x:v>
      </x:c>
      <x:c r="F13" s="98" t="n">
        <x:f>Data!G25</x:f>
        <x:v>8970435.67</x:v>
      </x:c>
      <x:c r="G13" s="99" t="n">
        <x:f>Comp!B9</x:f>
        <x:v>4822</x:v>
      </x:c>
      <x:c r="H13" s="100" t="n">
        <x:f>E13/C13*10000</x:f>
        <x:v>9.740347682767803</x:v>
      </x:c>
      <x:c r="I13" s="100" t="n">
        <x:f>E13/D13*10000</x:f>
        <x:v>9.971085934699403</x:v>
      </x:c>
      <x:c r="J13" s="101" t="n">
        <x:f>E13/G13</x:f>
        <x:v>5405.0527333056825</x:v>
      </x:c>
      <x:c r="K13" s="101" t="n">
        <x:f>D13/G13</x:f>
        <x:v>5420726.256601687</x:v>
      </x:c>
    </x:row>
    <x:row r="14" ht="20" customHeight="1">
      <x:c r="A14" s="96" t="str">
        <x:v>2013 Q1</x:v>
      </x:c>
      <x:c r="B14" s="97" t="n">
        <x:f>Data!B28</x:f>
        <x:v>41364</x:v>
      </x:c>
      <x:c r="C14" s="98" t="n">
        <x:f>Data!C28</x:f>
        <x:v>26211111572</x:v>
      </x:c>
      <x:c r="D14" s="98" t="n">
        <x:f>AVERAGE(Data!C26:C28)</x:f>
        <x:v>26158150683</x:v>
      </x:c>
      <x:c r="E14" s="98" t="n">
        <x:f>SUM(Data!G26:G28)</x:f>
        <x:v>24166958.84</x:v>
      </x:c>
      <x:c r="F14" s="98" t="n">
        <x:f>Data!G28</x:f>
        <x:v>7509561.89</x:v>
      </x:c>
      <x:c r="G14" s="99" t="n">
        <x:f>Comp!B10</x:f>
        <x:v>4652</x:v>
      </x:c>
      <x:c r="H14" s="100" t="n">
        <x:f>E14/C14*10000</x:f>
        <x:v>9.220119785311331</x:v>
      </x:c>
      <x:c r="I14" s="100" t="n">
        <x:f>E14/D14*10000</x:f>
        <x:v>9.238787226539657</x:v>
      </x:c>
      <x:c r="J14" s="101" t="n">
        <x:f>E14/G14</x:f>
        <x:v>5194.96105760963</x:v>
      </x:c>
      <x:c r="K14" s="101" t="n">
        <x:f>D14/G14</x:f>
        <x:v>5622990.258598452</x:v>
      </x:c>
    </x:row>
    <x:row r="15" ht="20" customHeight="1">
      <x:c r="A15" s="96" t="str">
        <x:v>2013 Q2</x:v>
      </x:c>
      <x:c r="B15" s="97" t="n">
        <x:f>Data!B31</x:f>
        <x:v>41455</x:v>
      </x:c>
      <x:c r="C15" s="98" t="n">
        <x:f>Data!C31</x:f>
        <x:v>26561572699</x:v>
      </x:c>
      <x:c r="D15" s="98" t="n">
        <x:f>AVERAGE(Data!C29:C31)</x:f>
        <x:v>26497500037.666668</x:v>
      </x:c>
      <x:c r="E15" s="98" t="n">
        <x:f>SUM(Data!G29:G31)</x:f>
        <x:v>26382851.21</x:v>
      </x:c>
      <x:c r="F15" s="98" t="n">
        <x:f>Data!G31</x:f>
        <x:v>8553385.43</x:v>
      </x:c>
      <x:c r="G15" s="99" t="n">
        <x:f>Comp!B11</x:f>
        <x:v>4606</x:v>
      </x:c>
      <x:c r="H15" s="100" t="n">
        <x:f>E15/C15*10000</x:f>
        <x:v>9.932714266950493</x:v>
      </x:c>
      <x:c r="I15" s="100" t="n">
        <x:f>E15/D15*10000</x:f>
        <x:v>9.956732209641025</x:v>
      </x:c>
      <x:c r="J15" s="101" t="n">
        <x:f>E15/G15</x:f>
        <x:v>5727.931222318715</x:v>
      </x:c>
      <x:c r="K15" s="101" t="n">
        <x:f>D15/G15</x:f>
        <x:v>5752822.413735707</x:v>
      </x:c>
    </x:row>
    <x:row r="16" ht="20" customHeight="1">
      <x:c r="A16" s="96" t="str">
        <x:v>2013 Q3</x:v>
      </x:c>
      <x:c r="B16" s="97" t="n">
        <x:f>Data!B34</x:f>
        <x:v>41547</x:v>
      </x:c>
      <x:c r="C16" s="98" t="n">
        <x:f>Data!C34</x:f>
        <x:v>26216859425</x:v>
      </x:c>
      <x:c r="D16" s="98" t="n">
        <x:f>AVERAGE(Data!C32:C34)</x:f>
        <x:v>26154373914</x:v>
      </x:c>
      <x:c r="E16" s="98" t="n">
        <x:f>SUM(Data!G32:G34)</x:f>
        <x:v>26475101.689999998</x:v>
      </x:c>
      <x:c r="F16" s="98" t="n">
        <x:f>Data!G34</x:f>
        <x:v>8603976.18</x:v>
      </x:c>
      <x:c r="G16" s="99" t="n">
        <x:f>Comp!B12</x:f>
        <x:v>4571</x:v>
      </x:c>
      <x:c r="H16" s="100" t="n">
        <x:f>E16/C16*10000</x:f>
        <x:v>10.098502364762174</x:v>
      </x:c>
      <x:c r="I16" s="100" t="n">
        <x:f>E16/D16*10000</x:f>
        <x:v>10.12262873393743</x:v>
      </x:c>
      <x:c r="J16" s="101" t="n">
        <x:f>E16/G16</x:f>
        <x:v>5791.971492014876</x:v>
      </x:c>
      <x:c r="K16" s="101" t="n">
        <x:f>D16/G16</x:f>
        <x:v>5721805.712973091</x:v>
      </x:c>
    </x:row>
    <x:row r="17" ht="20" customHeight="1">
      <x:c r="A17" s="96" t="str">
        <x:v>2013 Q4</x:v>
      </x:c>
      <x:c r="B17" s="97" t="n">
        <x:f>Data!B37</x:f>
        <x:v>41639</x:v>
      </x:c>
      <x:c r="C17" s="98" t="n">
        <x:f>Data!C37</x:f>
        <x:v>26200204774</x:v>
      </x:c>
      <x:c r="D17" s="98" t="n">
        <x:f>AVERAGE(Data!C35:C37)</x:f>
        <x:v>26317475149</x:v>
      </x:c>
      <x:c r="E17" s="98" t="n">
        <x:f>SUM(Data!G35:G37)</x:f>
        <x:v>26313743.310000002</x:v>
      </x:c>
      <x:c r="F17" s="98" t="n">
        <x:f>Data!G37</x:f>
        <x:v>8685196.17</x:v>
      </x:c>
      <x:c r="G17" s="99" t="n">
        <x:f>Comp!B13</x:f>
        <x:v>4550</x:v>
      </x:c>
      <x:c r="H17" s="100" t="n">
        <x:f>E17/C17*10000</x:f>
        <x:v>10.043334980386364</x:v>
      </x:c>
      <x:c r="I17" s="100" t="n">
        <x:f>E17/D17*10000</x:f>
        <x:v>9.99858199201144</x:v>
      </x:c>
      <x:c r="J17" s="101" t="n">
        <x:f>E17/G17</x:f>
        <x:v>5783.240287912088</x:v>
      </x:c>
      <x:c r="K17" s="101" t="n">
        <x:f>D17/G17</x:f>
        <x:v>5784060.472307692</x:v>
      </x:c>
    </x:row>
    <x:row r="18" ht="20" customHeight="1">
      <x:c r="A18" s="96" t="str">
        <x:v>2014 Q1</x:v>
      </x:c>
      <x:c r="B18" s="97" t="n">
        <x:f>Data!B40</x:f>
        <x:v>41729</x:v>
      </x:c>
      <x:c r="C18" s="98" t="n">
        <x:f>Data!C40</x:f>
        <x:v>26434128184</x:v>
      </x:c>
      <x:c r="D18" s="98" t="n">
        <x:f>AVERAGE(Data!C38:C40)</x:f>
        <x:v>26323793835.333332</x:v>
      </x:c>
      <x:c r="E18" s="98" t="n">
        <x:f>SUM(Data!G38:G40)</x:f>
        <x:v>26055552.099999998</x:v>
      </x:c>
      <x:c r="F18" s="98" t="n">
        <x:f>Data!G40</x:f>
        <x:v>8986673.7</x:v>
      </x:c>
      <x:c r="G18" s="99" t="n">
        <x:f>Comp!B14</x:f>
        <x:v>4494</x:v>
      </x:c>
      <x:c r="H18" s="100" t="n">
        <x:f>E18/C18*10000</x:f>
        <x:v>9.856785106978053</x:v>
      </x:c>
      <x:c r="I18" s="100" t="n">
        <x:f>E18/D18*10000</x:f>
        <x:v>9.898099135325516</x:v>
      </x:c>
      <x:c r="J18" s="101" t="n">
        <x:f>E18/G18</x:f>
        <x:v>5797.85315976858</x:v>
      </x:c>
      <x:c r="K18" s="101" t="n">
        <x:f>D18/G18</x:f>
        <x:v>5857542.019433319</x:v>
      </x:c>
    </x:row>
    <x:row r="19" ht="20" customHeight="1">
      <x:c r="A19" s="96" t="str">
        <x:v>2014 Q2</x:v>
      </x:c>
      <x:c r="B19" s="97" t="n">
        <x:f>Data!B43</x:f>
        <x:v>41820</x:v>
      </x:c>
      <x:c r="C19" s="98" t="n">
        <x:f>Data!C43</x:f>
        <x:v>26626093130</x:v>
      </x:c>
      <x:c r="D19" s="98" t="n">
        <x:f>AVERAGE(Data!C41:C43)</x:f>
        <x:v>26501543038.666668</x:v>
      </x:c>
      <x:c r="E19" s="98" t="n">
        <x:f>SUM(Data!G41:G43)</x:f>
        <x:v>26424553.79</x:v>
      </x:c>
      <x:c r="F19" s="98" t="n">
        <x:f>Data!G43</x:f>
        <x:v>8934449.88</x:v>
      </x:c>
      <x:c r="G19" s="99" t="n">
        <x:f>Comp!B15</x:f>
        <x:v>4496</x:v>
      </x:c>
      <x:c r="H19" s="100" t="n">
        <x:f>E19/C19*10000</x:f>
        <x:v>9.924307580907197</x:v>
      </x:c>
      <x:c r="I19" s="100" t="n">
        <x:f>E19/D19*10000</x:f>
        <x:v>9.97094914490287</x:v>
      </x:c>
      <x:c r="J19" s="101" t="n">
        <x:f>E19/G19</x:f>
        <x:v>5877.34737322064</x:v>
      </x:c>
      <x:c r="K19" s="101" t="n">
        <x:f>D19/G19</x:f>
        <x:v>5894471.316429419</x:v>
      </x:c>
    </x:row>
    <x:row r="20" ht="20" customHeight="1">
      <x:c r="A20" s="96" t="str">
        <x:v>2014 Q3</x:v>
      </x:c>
      <x:c r="B20" s="97" t="n">
        <x:f>Data!B46</x:f>
        <x:v>41912</x:v>
      </x:c>
      <x:c r="C20" s="98" t="n">
        <x:f>Data!C46</x:f>
        <x:v>26518013907</x:v>
      </x:c>
      <x:c r="D20" s="98" t="n">
        <x:f>AVERAGE(Data!C44:C46)</x:f>
        <x:v>26559703316</x:v>
      </x:c>
      <x:c r="E20" s="98" t="n">
        <x:f>SUM(Data!G44:G46)</x:f>
        <x:v>26955778.77</x:v>
      </x:c>
      <x:c r="F20" s="98" t="n">
        <x:f>Data!G46</x:f>
        <x:v>8742801.52</x:v>
      </x:c>
      <x:c r="G20" s="99" t="n">
        <x:f>Comp!B16</x:f>
        <x:v>4421</x:v>
      </x:c>
      <x:c r="H20" s="100" t="n">
        <x:f>E20/C20*10000</x:f>
        <x:v>10.165082070073296</x:v>
      </x:c>
      <x:c r="I20" s="100" t="n">
        <x:f>E20/D20*10000</x:f>
        <x:v>10.149126460219682</x:v>
      </x:c>
      <x:c r="J20" s="101" t="n">
        <x:f>E20/G20</x:f>
        <x:v>6097.213021940737</x:v>
      </x:c>
      <x:c r="K20" s="101" t="n">
        <x:f>D20/G20</x:f>
        <x:v>6007623.459850713</x:v>
      </x:c>
    </x:row>
    <x:row r="21" ht="20" customHeight="1">
      <x:c r="A21" s="96" t="str">
        <x:v>2014 Q4</x:v>
      </x:c>
      <x:c r="B21" s="97" t="n">
        <x:f>Data!B49</x:f>
        <x:v>42004</x:v>
      </x:c>
      <x:c r="C21" s="98" t="n">
        <x:f>Data!C49</x:f>
        <x:v>27050236595</x:v>
      </x:c>
      <x:c r="D21" s="98" t="n">
        <x:f>AVERAGE(Data!C47:C49)</x:f>
        <x:v>26797421516.333332</x:v>
      </x:c>
      <x:c r="E21" s="98" t="n">
        <x:f>SUM(Data!G47:G49)</x:f>
        <x:v>26370037.259999998</x:v>
      </x:c>
      <x:c r="F21" s="98" t="n">
        <x:f>Data!G49</x:f>
        <x:v>8242930.04</x:v>
      </x:c>
      <x:c r="G21" s="99" t="n">
        <x:f>Comp!B17</x:f>
        <x:v>4372</x:v>
      </x:c>
      <x:c r="H21" s="100" t="n">
        <x:f>E21/C21*10000</x:f>
        <x:v>9.748542186456982</x:v>
      </x:c>
      <x:c r="I21" s="100" t="n">
        <x:f>E21/D21*10000</x:f>
        <x:v>9.840512917978755</x:v>
      </x:c>
      <x:c r="J21" s="101" t="n">
        <x:f>E21/G21</x:f>
        <x:v>6031.57302378774</x:v>
      </x:c>
      <x:c r="K21" s="101" t="n">
        <x:f>D21/G21</x:f>
        <x:v>6129327.885712107</x:v>
      </x:c>
    </x:row>
    <x:row r="22" ht="20" customHeight="1">
      <x:c r="A22" s="96" t="str">
        <x:v>2015 Q1</x:v>
      </x:c>
      <x:c r="B22" s="97" t="n">
        <x:f>Data!B52</x:f>
        <x:v>42094</x:v>
      </x:c>
      <x:c r="C22" s="98" t="n">
        <x:f>Data!C52</x:f>
        <x:v>27632890436</x:v>
      </x:c>
      <x:c r="D22" s="98" t="n">
        <x:f>AVERAGE(Data!C50:C52)</x:f>
        <x:v>27423825306</x:v>
      </x:c>
      <x:c r="E22" s="98" t="n">
        <x:f>SUM(Data!G50:G52)</x:f>
        <x:v>26172177.59</x:v>
      </x:c>
      <x:c r="F22" s="98" t="n">
        <x:f>Data!G52</x:f>
        <x:v>8612626.2</x:v>
      </x:c>
      <x:c r="G22" s="99" t="n">
        <x:f>Comp!B18</x:f>
        <x:v>4331</x:v>
      </x:c>
      <x:c r="H22" s="100" t="n">
        <x:f>E22/C22*10000</x:f>
        <x:v>9.471386155066504</x:v>
      </x:c>
      <x:c r="I22" s="100" t="n">
        <x:f>E22/D22*10000</x:f>
        <x:v>9.543591128504543</x:v>
      </x:c>
      <x:c r="J22" s="101" t="n">
        <x:f>E22/G22</x:f>
        <x:v>6042.987206187947</x:v>
      </x:c>
      <x:c r="K22" s="101" t="n">
        <x:f>D22/G22</x:f>
        <x:v>6331984.600785038</x:v>
      </x:c>
    </x:row>
    <x:row r="23" ht="20" customHeight="1">
      <x:c r="A23" s="96" t="str">
        <x:v>2015 Q2</x:v>
      </x:c>
      <x:c r="B23" s="97" t="n">
        <x:f>Data!B55</x:f>
        <x:v>42185</x:v>
      </x:c>
      <x:c r="C23" s="98" t="n">
        <x:f>Data!C55</x:f>
        <x:v>28205078255</x:v>
      </x:c>
      <x:c r="D23" s="98" t="n">
        <x:f>AVERAGE(Data!C53:C55)</x:f>
        <x:v>28053481336.333332</x:v>
      </x:c>
      <x:c r="E23" s="98" t="n">
        <x:f>SUM(Data!G53:G55)</x:f>
        <x:v>26540832.159999996</x:v>
      </x:c>
      <x:c r="F23" s="98" t="n">
        <x:f>Data!G55</x:f>
        <x:v>9183591.19</x:v>
      </x:c>
      <x:c r="G23" s="99" t="n">
        <x:f>Comp!B19</x:f>
        <x:v>4303</x:v>
      </x:c>
      <x:c r="H23" s="100" t="n">
        <x:f>E23/C23*10000</x:f>
        <x:v>9.409948066814891</x:v>
      </x:c>
      <x:c r="I23" s="100" t="n">
        <x:f>E23/D23*10000</x:f>
        <x:v>9.4607980527628</x:v>
      </x:c>
      <x:c r="J23" s="101" t="n">
        <x:f>E23/G23</x:f>
        <x:v>6167.983304671159</x:v>
      </x:c>
      <x:c r="K23" s="101" t="n">
        <x:f>D23/G23</x:f>
        <x:v>6519516.926872724</x:v>
      </x:c>
    </x:row>
    <x:row r="24" ht="20" customHeight="1">
      <x:c r="A24" s="96" t="str">
        <x:v>2015 Q3</x:v>
      </x:c>
      <x:c r="B24" s="97" t="n">
        <x:f>Data!B58</x:f>
        <x:v>42277</x:v>
      </x:c>
      <x:c r="C24" s="98" t="n">
        <x:f>Data!C58</x:f>
        <x:v>28167135497</x:v>
      </x:c>
      <x:c r="D24" s="98" t="n">
        <x:f>AVERAGE(Data!C56:C58)</x:f>
        <x:v>28340316705</x:v>
      </x:c>
      <x:c r="E24" s="98" t="n">
        <x:f>SUM(Data!G56:G58)</x:f>
        <x:v>26936669.67</x:v>
      </x:c>
      <x:c r="F24" s="98" t="n">
        <x:f>Data!G58</x:f>
        <x:v>9065482.4</x:v>
      </x:c>
      <x:c r="G24" s="99" t="n">
        <x:f>Comp!B20</x:f>
        <x:v>4280</x:v>
      </x:c>
      <x:c r="H24" s="100" t="n">
        <x:f>E24/C24*10000</x:f>
        <x:v>9.56315549831787</x:v>
      </x:c>
      <x:c r="I24" s="100" t="n">
        <x:f>E24/D24*10000</x:f>
        <x:v>9.504717237421572</x:v>
      </x:c>
      <x:c r="J24" s="101" t="n">
        <x:f>E24/G24</x:f>
        <x:v>6293.614408878505</x:v>
      </x:c>
      <x:c r="K24" s="101" t="n">
        <x:f>D24/G24</x:f>
        <x:v>6621569.323598131</x:v>
      </x:c>
    </x:row>
    <x:row r="25" ht="20" customHeight="1">
      <x:c r="A25" s="96" t="str">
        <x:v>2015 Q4</x:v>
      </x:c>
      <x:c r="B25" s="97" t="n">
        <x:f>Data!B61</x:f>
        <x:v>42369</x:v>
      </x:c>
      <x:c r="C25" s="98" t="n">
        <x:f>Data!C61</x:f>
        <x:v>28792653280</x:v>
      </x:c>
      <x:c r="D25" s="98" t="n">
        <x:f>AVERAGE(Data!C59:C61)</x:f>
        <x:v>28668629914</x:v>
      </x:c>
      <x:c r="E25" s="98" t="n">
        <x:f>SUM(Data!G59:G61)</x:f>
        <x:v>27816122.86</x:v>
      </x:c>
      <x:c r="F25" s="98" t="n">
        <x:f>Data!G61</x:f>
        <x:v>10345455.37</x:v>
      </x:c>
      <x:c r="G25" s="99" t="n">
        <x:f>Comp!B21</x:f>
        <x:v>4299</x:v>
      </x:c>
      <x:c r="H25" s="100" t="n">
        <x:f>E25/C25*10000</x:f>
        <x:v>9.660840419775305</x:v>
      </x:c>
      <x:c r="I25" s="100" t="n">
        <x:f>E25/D25*10000</x:f>
        <x:v>9.702634183580678</x:v>
      </x:c>
      <x:c r="J25" s="101" t="n">
        <x:f>E25/G25</x:f>
        <x:v>6470.3705187252845</x:v>
      </x:c>
      <x:c r="K25" s="101" t="n">
        <x:f>D25/G25</x:f>
        <x:v>6668674.090253548</x:v>
      </x:c>
    </x:row>
    <x:row r="26" ht="20" customHeight="1">
      <x:c r="A26" s="96" t="str">
        <x:v>2016 Q1</x:v>
      </x:c>
      <x:c r="B26" s="97" t="n">
        <x:f>Data!B64</x:f>
        <x:v>42460</x:v>
      </x:c>
      <x:c r="C26" s="98" t="n">
        <x:f>Data!C64</x:f>
        <x:v>29171256674</x:v>
      </x:c>
      <x:c r="D26" s="98" t="n">
        <x:f>AVERAGE(Data!C62:C64)</x:f>
        <x:v>29041686196.666668</x:v>
      </x:c>
      <x:c r="E26" s="98" t="n">
        <x:f>SUM(Data!G62:G64)</x:f>
        <x:v>26576660.860000003</x:v>
      </x:c>
      <x:c r="F26" s="98" t="n">
        <x:f>Data!G64</x:f>
        <x:v>9430023.23</x:v>
      </x:c>
      <x:c r="G26" s="99" t="n">
        <x:f>Comp!B22</x:f>
        <x:v>4221</x:v>
      </x:c>
      <x:c r="H26" s="100" t="n">
        <x:f>E26/C26*10000</x:f>
        <x:v>9.110564264338832</x:v>
      </x:c>
      <x:c r="I26" s="100" t="n">
        <x:f>E26/D26*10000</x:f>
        <x:v>9.15121135874349</x:v>
      </x:c>
      <x:c r="J26" s="101" t="n">
        <x:f>E26/G26</x:f>
        <x:v>6296.294920634921</x:v>
      </x:c>
      <x:c r="K26" s="101" t="n">
        <x:f>D26/G26</x:f>
        <x:v>6880285.760878149</x:v>
      </x:c>
    </x:row>
    <x:row r="27" ht="20" customHeight="1">
      <x:c r="A27" s="96" t="str">
        <x:v>2016 Q2</x:v>
      </x:c>
      <x:c r="B27" s="97" t="n">
        <x:f>Data!B67</x:f>
        <x:v>42551</x:v>
      </x:c>
      <x:c r="C27" s="98" t="n">
        <x:f>Data!C67</x:f>
        <x:v>29459691178</x:v>
      </x:c>
      <x:c r="D27" s="98" t="n">
        <x:f>AVERAGE(Data!C65:C67)</x:f>
        <x:v>29375764097.666668</x:v>
      </x:c>
      <x:c r="E27" s="98" t="n">
        <x:f>SUM(Data!G65:G67)</x:f>
        <x:v>26782821.560000002</x:v>
      </x:c>
      <x:c r="F27" s="98" t="n">
        <x:f>Data!G67</x:f>
        <x:v>8842899.39</x:v>
      </x:c>
      <x:c r="G27" s="99" t="n">
        <x:f>Comp!B23</x:f>
        <x:v>4213</x:v>
      </x:c>
      <x:c r="H27" s="100" t="n">
        <x:f>E27/C27*10000</x:f>
        <x:v>9.091344983277</x:v>
      </x:c>
      <x:c r="I27" s="100" t="n">
        <x:f>E27/D27*10000</x:f>
        <x:v>9.117319117539951</x:v>
      </x:c>
      <x:c r="J27" s="101" t="n">
        <x:f>E27/G27</x:f>
        <x:v>6357.185274151437</x:v>
      </x:c>
      <x:c r="K27" s="101" t="n">
        <x:f>D27/G27</x:f>
        <x:v>6972647.54276446</x:v>
      </x:c>
    </x:row>
    <x:row r="28" ht="20" customHeight="1">
      <x:c r="A28" s="96" t="str">
        <x:v>2016 Q3</x:v>
      </x:c>
      <x:c r="B28" s="97" t="n">
        <x:f>Data!B70</x:f>
        <x:v>42643</x:v>
      </x:c>
      <x:c r="C28" s="98" t="n">
        <x:f>Data!C70</x:f>
        <x:v>29727095988</x:v>
      </x:c>
      <x:c r="D28" s="98" t="n">
        <x:f>AVERAGE(Data!C68:C70)</x:f>
        <x:v>29560007351.333332</x:v>
      </x:c>
      <x:c r="E28" s="98" t="n">
        <x:f>SUM(Data!G68:G70)</x:f>
        <x:v>28120022.82</x:v>
      </x:c>
      <x:c r="F28" s="98" t="n">
        <x:f>Data!G70</x:f>
        <x:v>9369119.04</x:v>
      </x:c>
      <x:c r="G28" s="99" t="n">
        <x:f>Comp!B24</x:f>
        <x:v>4187</x:v>
      </x:c>
      <x:c r="H28" s="100" t="n">
        <x:f>E28/C28*10000</x:f>
        <x:v>9.45939113304282</x:v>
      </x:c>
      <x:c r="I28" s="100" t="n">
        <x:f>E28/D28*10000</x:f>
        <x:v>9.512860563863025</x:v>
      </x:c>
      <x:c r="J28" s="101" t="n">
        <x:f>E28/G28</x:f>
        <x:v>6716.031244327681</x:v>
      </x:c>
      <x:c r="K28" s="101" t="n">
        <x:f>D28/G28</x:f>
        <x:v>7059949.212164637</x:v>
      </x:c>
    </x:row>
    <x:row r="29" ht="20" customHeight="1">
      <x:c r="A29" s="96" t="str">
        <x:v>2016 Q4</x:v>
      </x:c>
      <x:c r="B29" s="97" t="n">
        <x:f>Data!B73</x:f>
        <x:v>42735</x:v>
      </x:c>
      <x:c r="C29" s="98" t="n">
        <x:f>Data!C73</x:f>
        <x:v>30104002434</x:v>
      </x:c>
      <x:c r="D29" s="98" t="n">
        <x:f>AVERAGE(Data!C71:C73)</x:f>
        <x:v>30216152484.333332</x:v>
      </x:c>
      <x:c r="E29" s="98" t="n">
        <x:f>SUM(Data!G71:G73)</x:f>
        <x:v>27867052.82</x:v>
      </x:c>
      <x:c r="F29" s="98" t="n">
        <x:f>Data!G73</x:f>
        <x:v>9176065.56</x:v>
      </x:c>
      <x:c r="G29" s="99" t="n">
        <x:f>Comp!B25</x:f>
        <x:v>4269</x:v>
      </x:c>
      <x:c r="H29" s="100" t="n">
        <x:f>E29/C29*10000</x:f>
        <x:v>9.256926178203617</x:v>
      </x:c>
      <x:c r="I29" s="100" t="n">
        <x:f>E29/D29*10000</x:f>
        <x:v>9.22256823877517</x:v>
      </x:c>
      <x:c r="J29" s="101" t="n">
        <x:f>E29/G29</x:f>
        <x:v>6527.770630124151</x:v>
      </x:c>
      <x:c r="K29" s="101" t="n">
        <x:f>D29/G29</x:f>
        <x:v>7078039.935425939</x:v>
      </x:c>
    </x:row>
    <x:row r="30" ht="20" customHeight="1">
      <x:c r="A30" s="96" t="str">
        <x:v>2017 Q1</x:v>
      </x:c>
      <x:c r="B30" s="97" t="n">
        <x:f>Data!B76</x:f>
        <x:v>42825</x:v>
      </x:c>
      <x:c r="C30" s="98" t="n">
        <x:f>Data!C76</x:f>
        <x:v>30679589469</x:v>
      </x:c>
      <x:c r="D30" s="98" t="n">
        <x:f>AVERAGE(Data!C74:C76)</x:f>
        <x:v>30502192612.666668</x:v>
      </x:c>
      <x:c r="E30" s="98" t="n">
        <x:f>SUM(Data!G74:G76)</x:f>
        <x:v>29331089.82</x:v>
      </x:c>
      <x:c r="F30" s="98" t="n">
        <x:f>Data!G76</x:f>
        <x:v>10151828.85</x:v>
      </x:c>
      <x:c r="G30" s="99" t="n">
        <x:f>Comp!B26</x:f>
        <x:v>4284</x:v>
      </x:c>
      <x:c r="H30" s="100" t="n">
        <x:f>E30/C30*10000</x:f>
        <x:v>9.560457075097897</x:v>
      </x:c>
      <x:c r="I30" s="100" t="n">
        <x:f>E30/D30*10000</x:f>
        <x:v>9.616059472334346</x:v>
      </x:c>
      <x:c r="J30" s="101" t="n">
        <x:f>E30/G30</x:f>
        <x:v>6846.659621848739</x:v>
      </x:c>
      <x:c r="K30" s="101" t="n">
        <x:f>D30/G30</x:f>
        <x:v>7120026.286803611</x:v>
      </x:c>
    </x:row>
    <x:row r="31" ht="20" customHeight="1">
      <x:c r="A31" s="96" t="str">
        <x:v>2017 Q2</x:v>
      </x:c>
      <x:c r="B31" s="97" t="n">
        <x:f>Data!B79</x:f>
        <x:v>42916</x:v>
      </x:c>
      <x:c r="C31" s="98" t="n">
        <x:f>Data!C79</x:f>
        <x:v>30687965879</x:v>
      </x:c>
      <x:c r="D31" s="98" t="n">
        <x:f>AVERAGE(Data!C77:C79)</x:f>
        <x:v>30603772955</x:v>
      </x:c>
      <x:c r="E31" s="98" t="n">
        <x:f>SUM(Data!G77:G79)</x:f>
        <x:v>29933233.48</x:v>
      </x:c>
      <x:c r="F31" s="98" t="n">
        <x:f>Data!G79</x:f>
        <x:v>9971043.05</x:v>
      </x:c>
      <x:c r="G31" s="99" t="n">
        <x:f>Comp!B27</x:f>
        <x:v>4272</x:v>
      </x:c>
      <x:c r="H31" s="100" t="n">
        <x:f>E31/C31*10000</x:f>
        <x:v>9.754062422391943</x:v>
      </x:c>
      <x:c r="I31" s="100" t="n">
        <x:f>E31/D31*10000</x:f>
        <x:v>9.780896467900883</x:v>
      </x:c>
      <x:c r="J31" s="101" t="n">
        <x:f>E31/G31</x:f>
        <x:v>7006.843043071161</x:v>
      </x:c>
      <x:c r="K31" s="101" t="n">
        <x:f>D31/G31</x:f>
        <x:v>7163804.530664794</x:v>
      </x:c>
    </x:row>
    <x:row r="32" ht="20" customHeight="1">
      <x:c r="A32" s="96" t="str">
        <x:v>2017 Q3</x:v>
      </x:c>
      <x:c r="B32" s="97" t="n">
        <x:f>Data!B82</x:f>
        <x:v>43008</x:v>
      </x:c>
      <x:c r="C32" s="98" t="n">
        <x:f>Data!C82</x:f>
        <x:v>31642122772</x:v>
      </x:c>
      <x:c r="D32" s="98" t="n">
        <x:f>AVERAGE(Data!C80:C82)</x:f>
        <x:v>30986760296.666668</x:v>
      </x:c>
      <x:c r="E32" s="98" t="n">
        <x:f>SUM(Data!G80:G82)</x:f>
        <x:v>30573246.48</x:v>
      </x:c>
      <x:c r="F32" s="98" t="n">
        <x:f>Data!G82</x:f>
        <x:v>9154869.21</x:v>
      </x:c>
      <x:c r="G32" s="99" t="n">
        <x:f>Comp!B28</x:f>
        <x:v>4313</x:v>
      </x:c>
      <x:c r="H32" s="100" t="n">
        <x:f>E32/C32*10000</x:f>
        <x:v>9.662198298229901</x:v>
      </x:c>
      <x:c r="I32" s="100" t="n">
        <x:f>E32/D32*10000</x:f>
        <x:v>9.866551452069306</x:v>
      </x:c>
      <x:c r="J32" s="101" t="n">
        <x:f>E32/G32</x:f>
        <x:v>7088.626589380941</x:v>
      </x:c>
      <x:c r="K32" s="101" t="n">
        <x:f>D32/G32</x:f>
        <x:v>7184502.735141819</x:v>
      </x:c>
    </x:row>
    <x:row r="33" ht="20" customHeight="1">
      <x:c r="A33" s="96" t="str">
        <x:v>2017 Q4</x:v>
      </x:c>
      <x:c r="B33" s="97" t="n">
        <x:f>Data!B85</x:f>
        <x:v>43100</x:v>
      </x:c>
      <x:c r="C33" s="98" t="n">
        <x:f>Data!C85</x:f>
        <x:v>31221837223</x:v>
      </x:c>
      <x:c r="D33" s="98" t="n">
        <x:f>AVERAGE(Data!C83:C85)</x:f>
        <x:v>31318884528</x:v>
      </x:c>
      <x:c r="E33" s="98" t="n">
        <x:f>SUM(Data!G83:G85)</x:f>
        <x:v>30126264.57</x:v>
      </x:c>
      <x:c r="F33" s="98" t="n">
        <x:f>Data!G85</x:f>
        <x:v>9249601.21</x:v>
      </x:c>
      <x:c r="G33" s="99" t="n">
        <x:f>Comp!B29</x:f>
        <x:v>4352</x:v>
      </x:c>
      <x:c r="H33" s="100" t="n">
        <x:f>E33/C33*10000</x:f>
        <x:v>9.649100517315832</x:v>
      </x:c>
      <x:c r="I33" s="100" t="n">
        <x:f>E33/D33*10000</x:f>
        <x:v>9.61920101051691</x:v>
      </x:c>
      <x:c r="J33" s="101" t="n">
        <x:f>E33/G33</x:f>
        <x:v>6922.3953515625</x:v>
      </x:c>
      <x:c r="K33" s="101" t="n">
        <x:f>D33/G33</x:f>
        <x:v>7196434.863970588</x:v>
      </x:c>
    </x:row>
    <x:row r="34" ht="20" customHeight="1">
      <x:c r="A34" s="96" t="str">
        <x:v>2018 Q1</x:v>
      </x:c>
      <x:c r="B34" s="97" t="n">
        <x:f>Data!B88</x:f>
        <x:v>43190</x:v>
      </x:c>
      <x:c r="C34" s="98" t="n">
        <x:f>Data!C88</x:f>
        <x:v>31501028134</x:v>
      </x:c>
      <x:c r="D34" s="98" t="n">
        <x:f>AVERAGE(Data!C86:C88)</x:f>
        <x:v>31317789530.333332</x:v>
      </x:c>
      <x:c r="E34" s="98" t="n">
        <x:f>SUM(Data!G86:G88)</x:f>
        <x:v>31479847.82</x:v>
      </x:c>
      <x:c r="F34" s="98" t="n">
        <x:f>Data!G88</x:f>
        <x:v>10509583.11</x:v>
      </x:c>
      <x:c r="G34" s="99" t="n">
        <x:f>Comp!B30</x:f>
        <x:v>4384</x:v>
      </x:c>
      <x:c r="H34" s="100" t="n">
        <x:f>E34/C34*10000</x:f>
        <x:v>9.993276310249334</x:v>
      </x:c>
      <x:c r="I34" s="100" t="n">
        <x:f>E34/D34*10000</x:f>
        <x:v>10.051746401038203</x:v>
      </x:c>
      <x:c r="J34" s="101" t="n">
        <x:f>E34/G34</x:f>
        <x:v>7180.622221715328</x:v>
      </x:c>
      <x:c r="K34" s="101" t="n">
        <x:f>D34/G34</x:f>
        <x:v>7143656.370970194</x:v>
      </x:c>
    </x:row>
    <x:row r="35" ht="20" customHeight="1">
      <x:c r="A35" s="96" t="str">
        <x:v>2018 Q2</x:v>
      </x:c>
      <x:c r="B35" s="97" t="n">
        <x:f>Data!B91</x:f>
        <x:v>43281</x:v>
      </x:c>
      <x:c r="C35" s="98" t="n">
        <x:f>Data!C91</x:f>
        <x:v>31740306498</x:v>
      </x:c>
      <x:c r="D35" s="98" t="n">
        <x:f>AVERAGE(Data!C89:C91)</x:f>
        <x:v>31637878533.333332</x:v>
      </x:c>
      <x:c r="E35" s="98" t="n">
        <x:f>SUM(Data!G89:G91)</x:f>
        <x:v>32654097.310000002</x:v>
      </x:c>
      <x:c r="F35" s="98" t="n">
        <x:f>Data!G91</x:f>
        <x:v>10840462.06</x:v>
      </x:c>
      <x:c r="G35" s="99" t="n">
        <x:f>Comp!B31</x:f>
        <x:v>4411</x:v>
      </x:c>
      <x:c r="H35" s="100" t="n">
        <x:f>E35/C35*10000</x:f>
        <x:v>10.287896026479007</x:v>
      </x:c>
      <x:c r="I35" s="100" t="n">
        <x:f>E35/D35*10000</x:f>
        <x:v>10.321203198120884</x:v>
      </x:c>
      <x:c r="J35" s="101" t="n">
        <x:f>E35/G35</x:f>
        <x:v>7402.87855588302</x:v>
      </x:c>
      <x:c r="K35" s="101" t="n">
        <x:f>D35/G35</x:f>
        <x:v>7172495.70014358</x:v>
      </x:c>
    </x:row>
    <x:row r="36" ht="20" customHeight="1">
      <x:c r="A36" s="96" t="str">
        <x:v>2018 Q3</x:v>
      </x:c>
      <x:c r="B36" s="97" t="n">
        <x:f>Data!B94</x:f>
        <x:v>43373</x:v>
      </x:c>
      <x:c r="C36" s="98" t="n">
        <x:f>Data!C94</x:f>
        <x:v>32075120333</x:v>
      </x:c>
      <x:c r="D36" s="98" t="n">
        <x:f>AVERAGE(Data!C92:C94)</x:f>
        <x:v>32039534023.333332</x:v>
      </x:c>
      <x:c r="E36" s="98" t="n">
        <x:f>SUM(Data!G92:G94)</x:f>
        <x:v>32088211.189999998</x:v>
      </x:c>
      <x:c r="F36" s="98" t="n">
        <x:f>Data!G94</x:f>
        <x:v>10948496.88</x:v>
      </x:c>
      <x:c r="G36" s="99" t="n">
        <x:f>Comp!B32</x:f>
        <x:v>4434</x:v>
      </x:c>
      <x:c r="H36" s="100" t="n">
        <x:f>E36/C36*10000</x:f>
        <x:v>10.004081311890365</x:v>
      </x:c>
      <x:c r="I36" s="100" t="n">
        <x:f>E36/D36*10000</x:f>
        <x:v>10.015192844762103</x:v>
      </x:c>
      <x:c r="J36" s="101" t="n">
        <x:f>E36/G36</x:f>
        <x:v>7236.854124943617</x:v>
      </x:c>
      <x:c r="K36" s="101" t="n">
        <x:f>D36/G36</x:f>
        <x:v>7225875.963764847</x:v>
      </x:c>
    </x:row>
    <x:row r="37" ht="20" customHeight="1">
      <x:c r="A37" s="96" t="str">
        <x:v>2018 Q4</x:v>
      </x:c>
      <x:c r="B37" s="97" t="n">
        <x:f>Data!B97</x:f>
        <x:v>43465</x:v>
      </x:c>
      <x:c r="C37" s="98" t="n">
        <x:f>Data!C97</x:f>
        <x:v>32669191734</x:v>
      </x:c>
      <x:c r="D37" s="98" t="n">
        <x:f>AVERAGE(Data!C95:C97)</x:f>
        <x:v>32512308321</x:v>
      </x:c>
      <x:c r="E37" s="98" t="n">
        <x:f>SUM(Data!G95:G97)</x:f>
        <x:v>34260304.04</x:v>
      </x:c>
      <x:c r="F37" s="98" t="n">
        <x:f>Data!G97</x:f>
        <x:v>11173258.78</x:v>
      </x:c>
      <x:c r="G37" s="99" t="n">
        <x:f>Comp!B33</x:f>
        <x:v>4466</x:v>
      </x:c>
      <x:c r="H37" s="100" t="n">
        <x:f>E37/C37*10000</x:f>
        <x:v>10.487037548695785</x:v>
      </x:c>
      <x:c r="I37" s="100" t="n">
        <x:f>E37/D37*10000</x:f>
        <x:v>10.537641222438504</x:v>
      </x:c>
      <x:c r="J37" s="101" t="n">
        <x:f>E37/G37</x:f>
        <x:v>7671.362301836095</x:v>
      </x:c>
      <x:c r="K37" s="101" t="n">
        <x:f>D37/G37</x:f>
        <x:v>7279961.558665472</x:v>
      </x:c>
    </x:row>
    <x:row r="38" ht="20" customHeight="1">
      <x:c r="A38" s="96" t="str">
        <x:v>2019 Q1</x:v>
      </x:c>
      <x:c r="B38" s="97" t="n">
        <x:f>Data!B100</x:f>
        <x:v>43555</x:v>
      </x:c>
      <x:c r="C38" s="98" t="n">
        <x:f>Data!C100</x:f>
        <x:v>46630024868</x:v>
      </x:c>
      <x:c r="D38" s="98" t="n">
        <x:f>AVERAGE(Data!C98:C100)</x:f>
        <x:v>46119863514</x:v>
      </x:c>
      <x:c r="E38" s="98" t="n">
        <x:f>SUM(Data!G98:G100)</x:f>
        <x:v>38394222.11</x:v>
      </x:c>
      <x:c r="F38" s="98" t="n">
        <x:f>Data!G100</x:f>
        <x:v>13833541.18</x:v>
      </x:c>
      <x:c r="G38" s="99" t="n">
        <x:f>Comp!B34</x:f>
        <x:v>5173</x:v>
      </x:c>
      <x:c r="H38" s="100" t="n">
        <x:f>E38/C38*10000</x:f>
        <x:v>8.233798334589384</x:v>
      </x:c>
      <x:c r="I38" s="100" t="n">
        <x:f>E38/D38*10000</x:f>
        <x:v>8.324877652412214</x:v>
      </x:c>
      <x:c r="J38" s="101" t="n">
        <x:f>E38/G38</x:f>
        <x:v>7422.041776531993</x:v>
      </x:c>
      <x:c r="K38" s="101" t="n">
        <x:f>D38/G38</x:f>
        <x:v>8915496.523100715</x:v>
      </x:c>
    </x:row>
    <x:row r="39" ht="20" customHeight="1">
      <x:c r="A39" s="96" t="str">
        <x:v>2019 Q2</x:v>
      </x:c>
      <x:c r="B39" s="97" t="n">
        <x:f>Data!B103</x:f>
        <x:v>43646</x:v>
      </x:c>
      <x:c r="C39" s="98" t="n">
        <x:f>Data!C103</x:f>
        <x:v>47318202513</x:v>
      </x:c>
      <x:c r="D39" s="98" t="n">
        <x:f>AVERAGE(Data!C101:C103)</x:f>
        <x:v>46952310820.333336</x:v>
      </x:c>
      <x:c r="E39" s="98" t="n">
        <x:f>SUM(Data!G101:G103)</x:f>
        <x:v>39851017.599999994</x:v>
      </x:c>
      <x:c r="F39" s="98" t="n">
        <x:f>Data!G103</x:f>
        <x:v>13251665.41</x:v>
      </x:c>
      <x:c r="G39" s="99" t="n">
        <x:f>Comp!B35</x:f>
        <x:v>5158</x:v>
      </x:c>
      <x:c r="H39" s="100" t="n">
        <x:f>E39/C39*10000</x:f>
        <x:v>8.42192126572253</x:v>
      </x:c>
      <x:c r="I39" s="100" t="n">
        <x:f>E39/D39*10000</x:f>
        <x:v>8.487551923161568</x:v>
      </x:c>
      <x:c r="J39" s="101" t="n">
        <x:f>E39/G39</x:f>
        <x:v>7726.06002326483</x:v>
      </x:c>
      <x:c r="K39" s="101" t="n">
        <x:f>D39/G39</x:f>
        <x:v>9102813.264895955</x:v>
      </x:c>
    </x:row>
    <x:row r="40" ht="20" customHeight="1">
      <x:c r="A40" s="96" t="str">
        <x:v>2019 Q3</x:v>
      </x:c>
      <x:c r="B40" s="97" t="n">
        <x:f>Data!B106</x:f>
        <x:v>43738</x:v>
      </x:c>
      <x:c r="C40" s="98" t="n">
        <x:f>Data!C106</x:f>
        <x:v>47661181823</x:v>
      </x:c>
      <x:c r="D40" s="98" t="n">
        <x:f>AVERAGE(Data!C104:C106)</x:f>
        <x:v>47421750437.666664</x:v>
      </x:c>
      <x:c r="E40" s="98" t="n">
        <x:f>SUM(Data!G104:G106)</x:f>
        <x:v>41016895.79</x:v>
      </x:c>
      <x:c r="F40" s="98" t="n">
        <x:f>Data!G106</x:f>
        <x:v>13231966.52</x:v>
      </x:c>
      <x:c r="G40" s="99" t="n">
        <x:f>Comp!B36</x:f>
        <x:v>5229</x:v>
      </x:c>
      <x:c r="H40" s="100" t="n">
        <x:f>E40/C40*10000</x:f>
        <x:v>8.605933428660041</x:v>
      </x:c>
      <x:c r="I40" s="100" t="n">
        <x:f>E40/D40*10000</x:f>
        <x:v>8.64938459914391</x:v>
      </x:c>
      <x:c r="J40" s="101" t="n">
        <x:f>E40/G40</x:f>
        <x:v>7844.118529355517</x:v>
      </x:c>
      <x:c r="K40" s="101" t="n">
        <x:f>D40/G40</x:f>
        <x:v>9068990.330400968</x:v>
      </x:c>
    </x:row>
    <x:row r="41" ht="20" customHeight="1">
      <x:c r="A41" s="96" t="str">
        <x:v>2019 Q4</x:v>
      </x:c>
      <x:c r="B41" s="97" t="n">
        <x:f>Data!B109</x:f>
        <x:v>43830</x:v>
      </x:c>
      <x:c r="C41" s="98" t="n">
        <x:f>Data!C109</x:f>
        <x:v>48203281816</x:v>
      </x:c>
      <x:c r="D41" s="98" t="n">
        <x:f>AVERAGE(Data!C107:C109)</x:f>
        <x:v>47642856344.666664</x:v>
      </x:c>
      <x:c r="E41" s="98" t="n">
        <x:f>SUM(Data!G107:G109)</x:f>
        <x:v>42644236.6</x:v>
      </x:c>
      <x:c r="F41" s="98" t="n">
        <x:f>Data!G109</x:f>
        <x:v>14620644.86</x:v>
      </x:c>
      <x:c r="G41" s="99" t="n">
        <x:f>Comp!B37</x:f>
        <x:v>5219</x:v>
      </x:c>
      <x:c r="H41" s="100" t="n">
        <x:f>E41/C41*10000</x:f>
        <x:v>8.84674963891052</x:v>
      </x:c>
      <x:c r="I41" s="100" t="n">
        <x:f>E41/D41*10000</x:f>
        <x:v>8.950814428819143</x:v>
      </x:c>
      <x:c r="J41" s="101" t="n">
        <x:f>E41/G41</x:f>
        <x:v>8170.959302548381</x:v>
      </x:c>
      <x:c r="K41" s="101" t="n">
        <x:f>D41/G41</x:f>
        <x:v>9128732.773455963</x:v>
      </x:c>
    </x:row>
    <x:row r="42" ht="20" customHeight="1">
      <x:c r="A42" s="96" t="str">
        <x:v>2020 Q1</x:v>
      </x:c>
      <x:c r="B42" s="97" t="n">
        <x:f>Data!B112</x:f>
        <x:v>43921</x:v>
      </x:c>
      <x:c r="C42" s="98" t="n">
        <x:f>Data!C112</x:f>
        <x:v>50619585049</x:v>
      </x:c>
      <x:c r="D42" s="98" t="n">
        <x:f>AVERAGE(Data!C110:C112)</x:f>
        <x:v>49286738311</x:v>
      </x:c>
      <x:c r="E42" s="98" t="n">
        <x:f>SUM(Data!G110:G112)</x:f>
        <x:v>42194316.79</x:v>
      </x:c>
      <x:c r="F42" s="98" t="n">
        <x:f>Data!G112</x:f>
        <x:v>14389193.29</x:v>
      </x:c>
      <x:c r="G42" s="99" t="n">
        <x:f>Comp!B38</x:f>
        <x:v>5302</x:v>
      </x:c>
      <x:c r="H42" s="100" t="n">
        <x:f>E42/C42*10000</x:f>
        <x:v>8.335571449105263</x:v>
      </x:c>
      <x:c r="I42" s="100" t="n">
        <x:f>E42/D42*10000</x:f>
        <x:v>8.560987851083445</x:v>
      </x:c>
      <x:c r="J42" s="101" t="n">
        <x:f>E42/G42</x:f>
        <x:v>7958.188757072802</x:v>
      </x:c>
      <x:c r="K42" s="101" t="n">
        <x:f>D42/G42</x:f>
        <x:v>9295876.708977744</x:v>
      </x:c>
    </x:row>
    <x:row r="43" ht="20" customHeight="1">
      <x:c r="A43" s="96" t="str">
        <x:v>2020 Q2</x:v>
      </x:c>
      <x:c r="B43" s="97" t="n">
        <x:f>Data!B115</x:f>
        <x:v>44012</x:v>
      </x:c>
      <x:c r="C43" s="98" t="n">
        <x:f>Data!C115</x:f>
        <x:v>54121988575</x:v>
      </x:c>
      <x:c r="D43" s="98" t="n">
        <x:f>AVERAGE(Data!C113:C115)</x:f>
        <x:v>53568676087.666664</x:v>
      </x:c>
      <x:c r="E43" s="98" t="n">
        <x:f>SUM(Data!G113:G115)</x:f>
        <x:v>41726776.629999995</x:v>
      </x:c>
      <x:c r="F43" s="98" t="n">
        <x:f>Data!G115</x:f>
        <x:v>13686857.48</x:v>
      </x:c>
      <x:c r="G43" s="99" t="n">
        <x:f>Comp!B39</x:f>
        <x:v>5308</x:v>
      </x:c>
      <x:c r="H43" s="100" t="n">
        <x:f>E43/C43*10000</x:f>
        <x:v>7.7097641325903545</x:v>
      </x:c>
      <x:c r="I43" s="100" t="n">
        <x:f>E43/D43*10000</x:f>
        <x:v>7.789398521201632</x:v>
      </x:c>
      <x:c r="J43" s="101" t="n">
        <x:f>E43/G43</x:f>
        <x:v>7861.110894875658</x:v>
      </x:c>
      <x:c r="K43" s="101" t="n">
        <x:f>D43/G43</x:f>
        <x:v>10092064.070773674</x:v>
      </x:c>
    </x:row>
    <x:row r="44" ht="20" customHeight="1">
      <x:c r="A44" s="96" t="str">
        <x:v>2020 Q3</x:v>
      </x:c>
      <x:c r="B44" s="97" t="n">
        <x:f>Data!B118</x:f>
        <x:v>44104</x:v>
      </x:c>
      <x:c r="C44" s="98" t="n">
        <x:f>Data!C118</x:f>
        <x:v>53040538404</x:v>
      </x:c>
      <x:c r="D44" s="98" t="n">
        <x:f>AVERAGE(Data!C116:C118)</x:f>
        <x:v>53271156037.666664</x:v>
      </x:c>
      <x:c r="E44" s="98" t="n">
        <x:f>SUM(Data!G116:G118)</x:f>
        <x:v>41554231.95</x:v>
      </x:c>
      <x:c r="F44" s="98" t="n">
        <x:f>Data!G118</x:f>
        <x:v>14407656.2</x:v>
      </x:c>
      <x:c r="G44" s="99" t="n">
        <x:f>Comp!B40</x:f>
        <x:v>5232</x:v>
      </x:c>
      <x:c r="H44" s="100" t="n">
        <x:f>E44/C44*10000</x:f>
        <x:v>7.834428759657204</x:v>
      </x:c>
      <x:c r="I44" s="100" t="n">
        <x:f>E44/D44*10000</x:f>
        <x:v>7.800512517621745</x:v>
      </x:c>
      <x:c r="J44" s="101" t="n">
        <x:f>E44/G44</x:f>
        <x:v>7942.322620412845</x:v>
      </x:c>
      <x:c r="K44" s="101" t="n">
        <x:f>D44/G44</x:f>
        <x:v>10181795.878758918</x:v>
      </x:c>
    </x:row>
    <x:row r="45" ht="20" customHeight="1">
      <x:c r="A45" s="96" t="str">
        <x:v>2020 Q4</x:v>
      </x:c>
      <x:c r="B45" s="97" t="n">
        <x:f>Data!B121</x:f>
        <x:v>44196</x:v>
      </x:c>
      <x:c r="C45" s="98" t="n">
        <x:f>Data!C121</x:f>
        <x:v>54394158768</x:v>
      </x:c>
      <x:c r="D45" s="98" t="n">
        <x:f>AVERAGE(Data!C119:C121)</x:f>
        <x:v>54207403591.666664</x:v>
      </x:c>
      <x:c r="E45" s="98" t="n">
        <x:f>SUM(Data!G119:G121)</x:f>
        <x:v>44182783.54</x:v>
      </x:c>
      <x:c r="F45" s="98" t="n">
        <x:f>Data!G121</x:f>
        <x:v>15273819.76</x:v>
      </x:c>
      <x:c r="G45" s="99" t="n">
        <x:f>Comp!B41</x:f>
        <x:v>5134</x:v>
      </x:c>
      <x:c r="H45" s="100" t="n">
        <x:f>E45/C45*10000</x:f>
        <x:v>8.122707390042892</x:v>
      </x:c>
      <x:c r="I45" s="100" t="n">
        <x:f>E45/D45*10000</x:f>
        <x:v>8.150691715991401</x:v>
      </x:c>
      <x:c r="J45" s="101" t="n">
        <x:f>E45/G45</x:f>
        <x:v>8605.918102843787</x:v>
      </x:c>
      <x:c r="K45" s="101" t="n">
        <x:f>D45/G45</x:f>
        <x:v>10558512.581158292</x:v>
      </x:c>
    </x:row>
    <x:row r="46" ht="20" customHeight="1">
      <x:c r="A46" s="96" t="str">
        <x:v>2021 Q1</x:v>
      </x:c>
      <x:c r="B46" s="97" t="n">
        <x:f>Data!B124</x:f>
        <x:v>44286</x:v>
      </x:c>
      <x:c r="C46" s="98" t="n">
        <x:f>Data!C124</x:f>
        <x:v>55159011336</x:v>
      </x:c>
      <x:c r="D46" s="98" t="n">
        <x:f>AVERAGE(Data!C122:C124)</x:f>
        <x:v>54406722353.333336</x:v>
      </x:c>
      <x:c r="E46" s="98" t="n">
        <x:f>SUM(Data!G122:G124)</x:f>
        <x:v>41133914.019999996</x:v>
      </x:c>
      <x:c r="F46" s="98" t="n">
        <x:f>Data!G124</x:f>
        <x:v>13806228.59</x:v>
      </x:c>
      <x:c r="G46" s="99" t="n">
        <x:f>Comp!B42</x:f>
        <x:v>5061</x:v>
      </x:c>
      <x:c r="H46" s="100" t="n">
        <x:f>E46/C46*10000</x:f>
        <x:v>7.4573334480985505</x:v>
      </x:c>
      <x:c r="I46" s="100" t="n">
        <x:f>E46/D46*10000</x:f>
        <x:v>7.560446989043781</x:v>
      </x:c>
      <x:c r="J46" s="101" t="n">
        <x:f>E46/G46</x:f>
        <x:v>8127.625769610748</x:v>
      </x:c>
      <x:c r="K46" s="101" t="n">
        <x:f>D46/G46</x:f>
        <x:v>10750192.126720674</x:v>
      </x:c>
    </x:row>
    <x:row r="47" ht="20" customHeight="1">
      <x:c r="A47" s="96" t="str">
        <x:v>2021 Q2</x:v>
      </x:c>
      <x:c r="B47" s="97" t="n">
        <x:f>Data!B127</x:f>
        <x:v>44377</x:v>
      </x:c>
      <x:c r="C47" s="98" t="n">
        <x:f>Data!C127</x:f>
        <x:v>54938658607</x:v>
      </x:c>
      <x:c r="D47" s="98" t="n">
        <x:f>AVERAGE(Data!C125:C127)</x:f>
        <x:v>55003493780</x:v>
      </x:c>
      <x:c r="E47" s="98" t="n">
        <x:f>SUM(Data!G125:G127)</x:f>
        <x:v>41824950.54</x:v>
      </x:c>
      <x:c r="F47" s="98" t="n">
        <x:f>Data!G127</x:f>
        <x:v>13763517.34</x:v>
      </x:c>
      <x:c r="G47" s="99" t="n">
        <x:f>Comp!B43</x:f>
        <x:v>4983</x:v>
      </x:c>
      <x:c r="H47" s="100" t="n">
        <x:f>E47/C47*10000</x:f>
        <x:v>7.613027256306342</x:v>
      </x:c>
      <x:c r="I47" s="100" t="n">
        <x:f>E47/D47*10000</x:f>
        <x:v>7.604053427458477</x:v>
      </x:c>
      <x:c r="J47" s="101" t="n">
        <x:f>E47/G47</x:f>
        <x:v>8393.528103552077</x:v>
      </x:c>
      <x:c r="K47" s="101" t="n">
        <x:f>D47/G47</x:f>
        <x:v>11038228.73369456</x:v>
      </x:c>
    </x:row>
    <x:row r="48" ht="20" customHeight="1">
      <x:c r="A48" s="96" t="str">
        <x:v>2021 Q3</x:v>
      </x:c>
      <x:c r="B48" s="97" t="n">
        <x:f>Data!B130</x:f>
        <x:v>44469</x:v>
      </x:c>
      <x:c r="C48" s="98" t="n">
        <x:f>Data!C130</x:f>
        <x:v>55509129346</x:v>
      </x:c>
      <x:c r="D48" s="98" t="n">
        <x:f>AVERAGE(Data!C128:C130)</x:f>
        <x:v>55472677061.666664</x:v>
      </x:c>
      <x:c r="E48" s="98" t="n">
        <x:f>SUM(Data!G128:G130)</x:f>
        <x:v>43483388.730000004</x:v>
      </x:c>
      <x:c r="F48" s="98" t="n">
        <x:f>Data!G130</x:f>
        <x:v>14843308.88</x:v>
      </x:c>
      <x:c r="G48" s="99" t="n">
        <x:f>Comp!B44</x:f>
        <x:v>4953</x:v>
      </x:c>
      <x:c r="H48" s="100" t="n">
        <x:f>E48/C48*10000</x:f>
        <x:v>7.833556253235203</x:v>
      </x:c>
      <x:c r="I48" s="100" t="n">
        <x:f>E48/D48*10000</x:f>
        <x:v>7.838703850845585</x:v>
      </x:c>
      <x:c r="J48" s="101" t="n">
        <x:f>E48/G48</x:f>
        <x:v>8779.202247122957</x:v>
      </x:c>
      <x:c r="K48" s="101" t="n">
        <x:f>D48/G48</x:f>
        <x:v>11199813.66074433</x:v>
      </x:c>
    </x:row>
    <x:row r="49" ht="20" customHeight="1">
      <x:c r="A49" s="96" t="str">
        <x:v>2021 Q4</x:v>
      </x:c>
      <x:c r="B49" s="97" t="n">
        <x:f>Data!B133</x:f>
        <x:v>44561</x:v>
      </x:c>
      <x:c r="C49" s="98" t="n">
        <x:f>Data!C133</x:f>
        <x:v>57317225848</x:v>
      </x:c>
      <x:c r="D49" s="98" t="n">
        <x:f>AVERAGE(Data!C131:C133)</x:f>
        <x:v>57015189806</x:v>
      </x:c>
      <x:c r="E49" s="98" t="n">
        <x:f>SUM(Data!G131:G133)</x:f>
        <x:v>42779786.48</x:v>
      </x:c>
      <x:c r="F49" s="98" t="n">
        <x:f>Data!G133</x:f>
        <x:v>13371728.65</x:v>
      </x:c>
      <x:c r="G49" s="99" t="n">
        <x:f>Comp!B45</x:f>
        <x:v>4887</x:v>
      </x:c>
      <x:c r="H49" s="100" t="n">
        <x:f>E49/C49*10000</x:f>
        <x:v>7.463687547169161</x:v>
      </x:c>
      <x:c r="I49" s="100" t="n">
        <x:f>E49/D49*10000</x:f>
        <x:v>7.50322617982376</x:v>
      </x:c>
      <x:c r="J49" s="101" t="n">
        <x:f>E49/G49</x:f>
        <x:v>8753.793018211582</x:v>
      </x:c>
      <x:c r="K49" s="101" t="n">
        <x:f>D49/G49</x:f>
        <x:v>11666705.505627174</x:v>
      </x:c>
    </x:row>
    <x:row r="50" ht="20" customHeight="1">
      <x:c r="A50" s="96" t="str">
        <x:v>2022 Q1</x:v>
      </x:c>
      <x:c r="B50" s="97" t="n">
        <x:f>Data!B136</x:f>
        <x:v>44651</x:v>
      </x:c>
      <x:c r="C50" s="98" t="n">
        <x:f>Data!C136</x:f>
        <x:v>56419548647</x:v>
      </x:c>
      <x:c r="D50" s="98" t="n">
        <x:f>AVERAGE(Data!C134:C136)</x:f>
        <x:v>56844066840.666664</x:v>
      </x:c>
      <x:c r="E50" s="98" t="n">
        <x:f>SUM(Data!G134:G136)</x:f>
        <x:v>42876844.43</x:v>
      </x:c>
      <x:c r="F50" s="98" t="n">
        <x:f>Data!G136</x:f>
        <x:v>14232457.44</x:v>
      </x:c>
      <x:c r="G50" s="99" t="n">
        <x:f>Comp!B46</x:f>
        <x:v>4907</x:v>
      </x:c>
      <x:c r="H50" s="100" t="n">
        <x:f>E50/C50*10000</x:f>
        <x:v>7.599643289999962</x:v>
      </x:c>
      <x:c r="I50" s="100" t="n">
        <x:f>E50/D50*10000</x:f>
        <x:v>7.542888257834076</x:v>
      </x:c>
      <x:c r="J50" s="101" t="n">
        <x:f>E50/G50</x:f>
        <x:v>8737.893708987162</x:v>
      </x:c>
      <x:c r="K50" s="101" t="n">
        <x:f>D50/G50</x:f>
        <x:v>11584280.994633516</x:v>
      </x:c>
    </x:row>
    <x:row r="51" ht="20" customHeight="1">
      <x:c r="A51" s="96" t="str">
        <x:v>2022 Q2</x:v>
      </x:c>
      <x:c r="B51" s="97" t="n">
        <x:f>Data!B139</x:f>
        <x:v>44742</x:v>
      </x:c>
      <x:c r="C51" s="98" t="n">
        <x:f>Data!C139</x:f>
        <x:v>57382745181</x:v>
      </x:c>
      <x:c r="D51" s="98" t="n">
        <x:f>AVERAGE(Data!C137:C139)</x:f>
        <x:v>57246550093.666664</x:v>
      </x:c>
      <x:c r="E51" s="98" t="n">
        <x:f>SUM(Data!G137:G139)</x:f>
        <x:v>43198745.28</x:v>
      </x:c>
      <x:c r="F51" s="98" t="n">
        <x:f>Data!G139</x:f>
        <x:v>14926800.04</x:v>
      </x:c>
      <x:c r="G51" s="99" t="n">
        <x:f>Comp!B47</x:f>
        <x:v>5005</x:v>
      </x:c>
      <x:c r="H51" s="100" t="n">
        <x:f>E51/C51*10000</x:f>
        <x:v>7.528176831509193</x:v>
      </x:c>
      <x:c r="I51" s="100" t="n">
        <x:f>E51/D51*10000</x:f>
        <x:v>7.546087093338956</x:v>
      </x:c>
      <x:c r="J51" s="101" t="n">
        <x:f>E51/G51</x:f>
        <x:v>8631.117938061938</x:v>
      </x:c>
      <x:c r="K51" s="101" t="n">
        <x:f>D51/G51</x:f>
        <x:v>11437872.146586746</x:v>
      </x:c>
    </x:row>
    <x:row r="52" ht="20" customHeight="1">
      <x:c r="A52" s="96" t="str">
        <x:v>2022 Q3</x:v>
      </x:c>
      <x:c r="B52" s="97" t="n">
        <x:f>Data!B142</x:f>
        <x:v>44834</x:v>
      </x:c>
      <x:c r="C52" s="98" t="n">
        <x:f>Data!C142</x:f>
        <x:v>58639521721</x:v>
      </x:c>
      <x:c r="D52" s="98" t="n">
        <x:f>AVERAGE(Data!C140:C142)</x:f>
        <x:v>58554808555.666664</x:v>
      </x:c>
      <x:c r="E52" s="98" t="n">
        <x:f>SUM(Data!G140:G142)</x:f>
        <x:v>43462432.33</x:v>
      </x:c>
      <x:c r="F52" s="98" t="n">
        <x:f>Data!G142</x:f>
        <x:v>14441065.25</x:v>
      </x:c>
      <x:c r="G52" s="99" t="n">
        <x:f>Comp!B48</x:f>
        <x:v>5033</x:v>
      </x:c>
      <x:c r="H52" s="100" t="n">
        <x:f>E52/C52*10000</x:f>
        <x:v>7.41179857107109</x:v>
      </x:c>
      <x:c r="I52" s="100" t="n">
        <x:f>E52/D52*10000</x:f>
        <x:v>7.422521463575668</x:v>
      </x:c>
      <x:c r="J52" s="101" t="n">
        <x:f>E52/G52</x:f>
        <x:v>8635.492217365389</x:v>
      </x:c>
      <x:c r="K52" s="101" t="n">
        <x:f>D52/G52</x:f>
        <x:v>11634176.148552883</x:v>
      </x:c>
    </x:row>
    <x:row r="53" ht="20" customHeight="1">
      <x:c r="A53" s="96" t="str">
        <x:v>2022 Q4</x:v>
      </x:c>
      <x:c r="B53" s="97" t="n">
        <x:f>Data!B145</x:f>
        <x:v>44926</x:v>
      </x:c>
      <x:c r="C53" s="98" t="n">
        <x:f>Data!C145</x:f>
        <x:v>59731377638</x:v>
      </x:c>
      <x:c r="D53" s="98" t="n">
        <x:f>AVERAGE(Data!C143:C145)</x:f>
        <x:v>60171584117</x:v>
      </x:c>
      <x:c r="E53" s="98" t="n">
        <x:f>SUM(Data!G143:G145)</x:f>
        <x:v>45191878.4</x:v>
      </x:c>
      <x:c r="F53" s="98" t="n">
        <x:f>Data!G145</x:f>
        <x:v>14734816.47</x:v>
      </x:c>
      <x:c r="G53" s="99" t="n">
        <x:f>Comp!B49</x:f>
        <x:v>5027</x:v>
      </x:c>
      <x:c r="H53" s="100" t="n">
        <x:f>E53/C53*10000</x:f>
        <x:v>7.565852352156325</x:v>
      </x:c>
      <x:c r="I53" s="100" t="n">
        <x:f>E53/D53*10000</x:f>
        <x:v>7.510501686664444</x:v>
      </x:c>
      <x:c r="J53" s="101" t="n">
        <x:f>E53/G53</x:f>
        <x:v>8989.830594788144</x:v>
      </x:c>
      <x:c r="K53" s="101" t="n">
        <x:f>D53/G53</x:f>
        <x:v>11969680.548438432</x:v>
      </x:c>
    </x:row>
    <x:row r="54" ht="20" customHeight="1">
      <x:c r="A54" s="96" t="str">
        <x:v>2023 Q1</x:v>
      </x:c>
      <x:c r="B54" s="97" t="n">
        <x:f>Data!B148</x:f>
        <x:v>45016</x:v>
      </x:c>
      <x:c r="C54" s="98" t="n">
        <x:f>Data!C148</x:f>
        <x:v>61840025034</x:v>
      </x:c>
      <x:c r="D54" s="98" t="n">
        <x:f>AVERAGE(Data!C146:C148)</x:f>
        <x:v>60747128561</x:v>
      </x:c>
      <x:c r="E54" s="98" t="n">
        <x:f>SUM(Data!G146:G148)</x:f>
        <x:v>42860203.74</x:v>
      </x:c>
      <x:c r="F54" s="98" t="n">
        <x:f>Data!G148</x:f>
        <x:v>14370979.11</x:v>
      </x:c>
      <x:c r="G54" s="99" t="n">
        <x:f>Comp!B50</x:f>
        <x:v>5072</x:v>
      </x:c>
      <x:c r="H54" s="100" t="n">
        <x:f>E54/C54*10000</x:f>
        <x:v>6.930819273833608</x:v>
      </x:c>
      <x:c r="I54" s="100" t="n">
        <x:f>E54/D54*10000</x:f>
        <x:v>7.055511059582246</x:v>
      </x:c>
      <x:c r="J54" s="101" t="n">
        <x:f>E54/G54</x:f>
        <x:v>8450.35562697161</x:v>
      </x:c>
      <x:c r="K54" s="101" t="n">
        <x:f>D54/G54</x:f>
        <x:v>11976957.523856467</x:v>
      </x:c>
    </x:row>
    <x:row r="55" ht="20" customHeight="1">
      <x:c r="A55" s="96" t="str">
        <x:v>2023 Q2</x:v>
      </x:c>
      <x:c r="B55" s="97" t="n">
        <x:f>Data!B151</x:f>
        <x:v>45107</x:v>
      </x:c>
      <x:c r="C55" s="98" t="n">
        <x:f>Data!C151</x:f>
        <x:v>60655591205</x:v>
      </x:c>
      <x:c r="D55" s="98" t="n">
        <x:f>AVERAGE(Data!C149:C151)</x:f>
        <x:v>61045966385.333336</x:v>
      </x:c>
      <x:c r="E55" s="98" t="n">
        <x:f>SUM(Data!G149:G151)</x:f>
        <x:v>42784989.5</x:v>
      </x:c>
      <x:c r="F55" s="98" t="n">
        <x:f>Data!G151</x:f>
        <x:v>14911135.37</x:v>
      </x:c>
      <x:c r="G55" s="99" t="n">
        <x:f>Comp!B51</x:f>
        <x:v>5097</x:v>
      </x:c>
      <x:c r="H55" s="100" t="n">
        <x:f>E55/C55*10000</x:f>
        <x:v>7.053758548885947</x:v>
      </x:c>
      <x:c r="I55" s="100" t="n">
        <x:f>E55/D55*10000</x:f>
        <x:v>7.008651354609295</x:v>
      </x:c>
      <x:c r="J55" s="101" t="n">
        <x:f>E55/G55</x:f>
        <x:v>8394.151363547184</x:v>
      </x:c>
      <x:c r="K55" s="101" t="n">
        <x:f>D55/G55</x:f>
        <x:v>11976842.531946898</x:v>
      </x:c>
    </x:row>
    <x:row r="56" ht="20" customHeight="1">
      <x:c r="A56" s="96" t="str">
        <x:v>2023 Q3</x:v>
      </x:c>
      <x:c r="B56" s="97" t="n">
        <x:f>Data!B154</x:f>
        <x:v>45199</x:v>
      </x:c>
      <x:c r="C56" s="98" t="n">
        <x:f>Data!C154</x:f>
        <x:v>59342929688</x:v>
      </x:c>
      <x:c r="D56" s="98" t="n">
        <x:f>AVERAGE(Data!C152:C154)</x:f>
        <x:v>59915315571.666664</x:v>
      </x:c>
      <x:c r="E56" s="98" t="n">
        <x:f>SUM(Data!G152:G154)</x:f>
        <x:v>45789829.410000004</x:v>
      </x:c>
      <x:c r="F56" s="98" t="n">
        <x:f>Data!G154</x:f>
        <x:v>15126431.92</x:v>
      </x:c>
      <x:c r="G56" s="99" t="n">
        <x:f>Comp!B52</x:f>
        <x:v>4916</x:v>
      </x:c>
      <x:c r="H56" s="100" t="n">
        <x:f>E56/C56*10000</x:f>
        <x:v>7.716138999328739</x:v>
      </x:c>
      <x:c r="I56" s="100" t="n">
        <x:f>E56/D56*10000</x:f>
        <x:v>7.642424807932338</x:v>
      </x:c>
      <x:c r="J56" s="101" t="n">
        <x:f>E56/G56</x:f>
        <x:v>9314.44861879577</x:v>
      </x:c>
      <x:c r="K56" s="101" t="n">
        <x:f>D56/G56</x:f>
        <x:v>12187818.464537565</x:v>
      </x:c>
    </x:row>
    <x:row r="57" ht="20" customHeight="1">
      <x:c r="A57" s="96" t="str">
        <x:v>2023 Q4</x:v>
      </x:c>
      <x:c r="B57" s="97" t="n">
        <x:f>Data!B157</x:f>
        <x:v>45291</x:v>
      </x:c>
      <x:c r="C57" s="98" t="n">
        <x:f>Data!C157</x:f>
        <x:v>59809533747</x:v>
      </x:c>
      <x:c r="D57" s="98" t="n">
        <x:f>AVERAGE(Data!C155:C157)</x:f>
        <x:v>60359360357</x:v>
      </x:c>
      <x:c r="E57" s="98" t="n">
        <x:f>SUM(Data!G155:G157)</x:f>
        <x:v>48145702.82</x:v>
      </x:c>
      <x:c r="F57" s="98" t="n">
        <x:f>Data!G157</x:f>
        <x:v>16478054.96</x:v>
      </x:c>
      <x:c r="G57" s="99" t="n">
        <x:f>Comp!B53</x:f>
        <x:v>4798</x:v>
      </x:c>
      <x:c r="H57" s="100" t="n">
        <x:f>E57/C57*10000</x:f>
        <x:v>8.049837509795827</x:v>
      </x:c>
      <x:c r="I57" s="100" t="n">
        <x:f>E57/D57*10000</x:f>
        <x:v>7.9765097799643</x:v>
      </x:c>
      <x:c r="J57" s="101" t="n">
        <x:f>E57/G57</x:f>
        <x:v>10034.535810754482</x:v>
      </x:c>
      <x:c r="K57" s="101" t="n">
        <x:f>D57/G57</x:f>
        <x:v>12580108.45289704</x:v>
      </x:c>
    </x:row>
    <x:row r="58" ht="20" customHeight="1">
      <x:c r="A58" s="96" t="str">
        <x:v>2024 Q1</x:v>
      </x:c>
      <x:c r="B58" s="97" t="n">
        <x:f>Data!B160</x:f>
        <x:v>45382</x:v>
      </x:c>
      <x:c r="C58" s="98" t="n">
        <x:f>Data!C160</x:f>
        <x:v>59835119683</x:v>
      </x:c>
      <x:c r="D58" s="98" t="n">
        <x:f>AVERAGE(Data!C158:C160)</x:f>
        <x:v>59660953571.666664</x:v>
      </x:c>
      <x:c r="E58" s="98" t="n">
        <x:f>SUM(Data!G158:G160)</x:f>
        <x:v>46808089.13</x:v>
      </x:c>
      <x:c r="F58" s="98" t="n">
        <x:f>Data!G160</x:f>
        <x:v>16240238.4</x:v>
      </x:c>
      <x:c r="G58" s="99" t="n">
        <x:f>Comp!B54</x:f>
        <x:v>4732</x:v>
      </x:c>
      <x:c r="H58" s="100" t="n">
        <x:f>E58/C58*10000</x:f>
        <x:v>7.822845408847547</x:v>
      </x:c>
      <x:c r="I58" s="100" t="n">
        <x:f>E58/D58*10000</x:f>
        <x:v>7.845682364726641</x:v>
      </x:c>
      <x:c r="J58" s="101" t="n">
        <x:f>E58/G58</x:f>
        <x:v>9891.819342772613</x:v>
      </x:c>
      <x:c r="K58" s="101" t="n">
        <x:f>D58/G58</x:f>
        <x:v>12607978.354113834</x:v>
      </x:c>
    </x:row>
    <x:row r="59" ht="20" customHeight="1">
      <x:c r="A59" s="96" t="str">
        <x:v>2024 Q2</x:v>
      </x:c>
      <x:c r="B59" s="97" t="n">
        <x:f>Data!B163</x:f>
        <x:v>45473</x:v>
      </x:c>
      <x:c r="C59" s="98" t="n">
        <x:f>Data!C163</x:f>
        <x:v>59606342668</x:v>
      </x:c>
      <x:c r="D59" s="98" t="n">
        <x:f>AVERAGE(Data!C161:C163)</x:f>
        <x:v>59867516466</x:v>
      </x:c>
      <x:c r="E59" s="98" t="n">
        <x:f>SUM(Data!G161:G163)</x:f>
        <x:v>46415391.27</x:v>
      </x:c>
      <x:c r="F59" s="98" t="n">
        <x:f>Data!G163</x:f>
        <x:v>15108299.56</x:v>
      </x:c>
      <x:c r="G59" s="99" t="n">
        <x:f>Comp!B55</x:f>
        <x:v>4726</x:v>
      </x:c>
      <x:c r="H59" s="100" t="n">
        <x:f>E59/C59*10000</x:f>
        <x:v>7.786988631147532</x:v>
      </x:c>
      <x:c r="I59" s="100" t="n">
        <x:f>E59/D59*10000</x:f>
        <x:v>7.753017664656301</x:v>
      </x:c>
      <x:c r="J59" s="101" t="n">
        <x:f>E59/G59</x:f>
        <x:v>9821.284652983497</x:v>
      </x:c>
      <x:c r="K59" s="101" t="n">
        <x:f>D59/G59</x:f>
        <x:v>12667692.86203978</x:v>
      </x:c>
    </x:row>
    <x:row r="60" ht="20" customHeight="1">
      <x:c r="A60" s="96" t="str">
        <x:v>2024 Q3</x:v>
      </x:c>
      <x:c r="B60" s="97" t="n">
        <x:f>Data!B166</x:f>
        <x:v>45565</x:v>
      </x:c>
      <x:c r="C60" s="98" t="n">
        <x:f>Data!C166</x:f>
        <x:v>59589628074</x:v>
      </x:c>
      <x:c r="D60" s="98" t="n">
        <x:f>AVERAGE(Data!C164:C166)</x:f>
        <x:v>59529899196.666664</x:v>
      </x:c>
      <x:c r="E60" s="98" t="n">
        <x:f>SUM(Data!G164:G166)</x:f>
        <x:v>46976163.510000005</x:v>
      </x:c>
      <x:c r="F60" s="98" t="n">
        <x:f>Data!G166</x:f>
        <x:v>15904636.45</x:v>
      </x:c>
      <x:c r="G60" s="99" t="n">
        <x:f>Comp!B56</x:f>
        <x:v>4728</x:v>
      </x:c>
      <x:c r="H60" s="100" t="n">
        <x:f>E60/C60*10000</x:f>
        <x:v>7.883278521501048</x:v>
      </x:c>
      <x:c r="I60" s="100" t="n">
        <x:f>E60/D60*10000</x:f>
        <x:v>7.891188149807988</x:v>
      </x:c>
      <x:c r="J60" s="101" t="n">
        <x:f>E60/G60</x:f>
        <x:v>9935.736782994925</x:v>
      </x:c>
      <x:c r="K60" s="101" t="n">
        <x:f>D60/G60</x:f>
        <x:v>12590926.226029329</x:v>
      </x:c>
    </x:row>
    <x:row r="61" ht="20" customHeight="1">
      <x:c r="A61" s="96" t="str">
        <x:v>2024 Q4</x:v>
      </x:c>
      <x:c r="B61" s="97" t="n">
        <x:f>Data!B169</x:f>
        <x:v>45657</x:v>
      </x:c>
      <x:c r="C61" s="98" t="n">
        <x:f>Data!C169</x:f>
        <x:v>60233643892</x:v>
      </x:c>
      <x:c r="D61" s="98" t="n">
        <x:f>AVERAGE(Data!C167:C169)</x:f>
        <x:v>60206680189.666664</x:v>
      </x:c>
      <x:c r="E61" s="98" t="n">
        <x:f>SUM(Data!G167:G169)</x:f>
        <x:v>47251353.42999999</x:v>
      </x:c>
      <x:c r="F61" s="98" t="n">
        <x:f>Data!G169</x:f>
        <x:v>16158704.52</x:v>
      </x:c>
      <x:c r="G61" s="99" t="n">
        <x:f>Comp!B57</x:f>
        <x:v>4696</x:v>
      </x:c>
      <x:c r="H61" s="100" t="n">
        <x:f>E61/C61*10000</x:f>
        <x:v>7.844677887116129</x:v>
      </x:c>
      <x:c r="I61" s="100" t="n">
        <x:f>E61/D61*10000</x:f>
        <x:v>7.848191144428819</x:v>
      </x:c>
      <x:c r="J61" s="101" t="n">
        <x:f>E61/G61</x:f>
        <x:v>10062.042893952299</x:v>
      </x:c>
      <x:c r="K61" s="101" t="n">
        <x:f>D61/G61</x:f>
        <x:v>12820843.311257808</x:v>
      </x:c>
    </x:row>
    <x:row r="62" ht="20" customHeight="1">
      <x:c r="A62" s="96" t="str">
        <x:v>2025 Q1</x:v>
      </x:c>
      <x:c r="B62" s="97" t="n">
        <x:f>Data!B172</x:f>
        <x:v>45747</x:v>
      </x:c>
      <x:c r="C62" s="98" t="n">
        <x:f>Data!C172</x:f>
        <x:v>60339121305</x:v>
      </x:c>
      <x:c r="D62" s="98" t="n">
        <x:f>AVERAGE(Data!C170:C172)</x:f>
        <x:v>60213330741.666664</x:v>
      </x:c>
      <x:c r="E62" s="98" t="n">
        <x:f>SUM(Data!G170:G172)</x:f>
        <x:v>48652314.489999995</x:v>
      </x:c>
      <x:c r="F62" s="98" t="n">
        <x:f>Data!G172</x:f>
        <x:v>16818274.65</x:v>
      </x:c>
      <x:c r="G62" s="99" t="n">
        <x:f>Comp!B58</x:f>
        <x:v>4720</x:v>
      </x:c>
      <x:c r="H62" s="100" t="n">
        <x:f>E62/C62*10000</x:f>
        <x:v>8.06314600507257</x:v>
      </x:c>
      <x:c r="I62" s="100" t="n">
        <x:f>E62/D62*10000</x:f>
        <x:v>8.079990575298531</x:v>
      </x:c>
      <x:c r="J62" s="101" t="n">
        <x:f>E62/G62</x:f>
        <x:v>10307.693747881354</x:v>
      </x:c>
      <x:c r="K62" s="101" t="n">
        <x:f>D62/G62</x:f>
        <x:v>12757061.597810734</x:v>
      </x:c>
    </x:row>
    <x:row r="63" ht="20" customHeight="1">
      <x:c r="A63" s="96" t="str">
        <x:v>2025 Q2</x:v>
      </x:c>
      <x:c r="B63" s="97" t="n">
        <x:f>Data!B175</x:f>
        <x:v>45838</x:v>
      </x:c>
      <x:c r="C63" s="98" t="n">
        <x:f>Data!C175</x:f>
        <x:v>61056784531</x:v>
      </x:c>
      <x:c r="D63" s="98" t="n">
        <x:f>AVERAGE(Data!C173:C175)</x:f>
        <x:v>60425578272.666664</x:v>
      </x:c>
      <x:c r="E63" s="98" t="n">
        <x:f>SUM(Data!G173:G175)</x:f>
        <x:v>48589124.129999995</x:v>
      </x:c>
      <x:c r="F63" s="98" t="n">
        <x:f>Data!G175</x:f>
        <x:v>16306399.87</x:v>
      </x:c>
      <x:c r="G63" s="99" t="n">
        <x:f>Comp!B59</x:f>
        <x:v>4804</x:v>
      </x:c>
      <x:c r="H63" s="100" t="n">
        <x:f>E63/C63*10000</x:f>
        <x:v>7.958022110602651</x:v>
      </x:c>
      <x:c r="I63" s="100" t="n">
        <x:f>E63/D63*10000</x:f>
        <x:v>8.041151697505416</x:v>
      </x:c>
      <x:c r="J63" s="101" t="n">
        <x:f>E63/G63</x:f>
        <x:v>10114.305605745212</x:v>
      </x:c>
      <x:c r="K63" s="101" t="n">
        <x:f>D63/G63</x:f>
        <x:v>12578180.323202886</x:v>
      </x:c>
    </x:row>
    <x:row r="64" ht="20" customHeight="1">
      <x:c r="A64" s="96" t="str">
        <x:v>2025 Q3</x:v>
      </x:c>
      <x:c r="B64" s="97" t="n">
        <x:f>Data!B178</x:f>
        <x:v>45930</x:v>
      </x:c>
      <x:c r="C64" s="98" t="n">
        <x:f>Data!C178</x:f>
        <x:v>60485174522</x:v>
      </x:c>
      <x:c r="D64" s="98" t="n">
        <x:f>AVERAGE(Data!C176:C178)</x:f>
        <x:v>61033974282.333336</x:v>
      </x:c>
      <x:c r="E64" s="98" t="n">
        <x:f>SUM(Data!G176:G178)</x:f>
        <x:v>49088891.15</x:v>
      </x:c>
      <x:c r="F64" s="98" t="n">
        <x:f>Data!G178</x:f>
        <x:v>16166826.63</x:v>
      </x:c>
      <x:c r="G64" s="99" t="n">
        <x:f>Comp!B60</x:f>
        <x:v>4847</x:v>
      </x:c>
      <x:c r="H64" s="100" t="n">
        <x:f>E64/C64*10000</x:f>
        <x:v>8.115855089769992</x:v>
      </x:c>
      <x:c r="I64" s="100" t="n">
        <x:f>E64/D64*10000</x:f>
        <x:v>8.042879679262356</x:v>
      </x:c>
      <x:c r="J64" s="101" t="n">
        <x:f>E64/G64</x:f>
        <x:v>10127.685403342273</x:v>
      </x:c>
      <x:c r="K64" s="101" t="n">
        <x:f>D64/G64</x:f>
        <x:v>12592113.530499967</x:v>
      </x:c>
    </x:row>
    <x:row r="65" ht="20" customHeight="1">
      <x:c r="A65" s="102" t="str">
        <x:v>2025 Q4</x:v>
      </x:c>
      <x:c r="B65" s="103" t="n">
        <x:f>Data!B181</x:f>
        <x:v>46022</x:v>
      </x:c>
      <x:c r="C65" s="104" t="n">
        <x:f>Data!C181</x:f>
        <x:v>61358837185</x:v>
      </x:c>
      <x:c r="D65" s="104" t="n">
        <x:f>AVERAGE(Data!C179:C181)</x:f>
        <x:v>61603649402</x:v>
      </x:c>
      <x:c r="E65" s="104" t="n">
        <x:f>SUM(Data!G179:G181)</x:f>
        <x:v>49454763.86</x:v>
      </x:c>
      <x:c r="F65" s="104" t="n">
        <x:f>Data!G181</x:f>
        <x:v>16385248.85</x:v>
      </x:c>
      <x:c r="G65" s="105" t="n">
        <x:f>Comp!B61</x:f>
        <x:v>4838</x:v>
      </x:c>
      <x:c r="H65" s="106" t="n">
        <x:f>E65/C65*10000</x:f>
        <x:v>8.059925208636432</x:v>
      </x:c>
      <x:c r="I65" s="106" t="n">
        <x:f>E65/D65*10000</x:f>
        <x:v>8.027895155574083</x:v>
      </x:c>
      <x:c r="J65" s="107" t="n">
        <x:f>E65/G65</x:f>
        <x:v>10222.15044646548</x:v>
      </x:c>
      <x:c r="K65" s="107" t="n">
        <x:f>D65/G65</x:f>
        <x:v>12733288.425382389</x:v>
      </x:c>
    </x:row>
  </x:sheetData>
  <x:pageMargins left="0.7" right="0.7" top="0.75" bottom="0.75" header="0.3" footer="0.3"/>
  <x:tableParts count="1">
    <x:tablePart xmlns:r="http://schemas.openxmlformats.org/officeDocument/2006/relationships" r:id="R6803242903114a88"/>
  </x:tableParts>
</x:worksheet>
</file>

<file path=xl/worksheets/sheet3.xml><?xml version="1.0" encoding="utf-8"?>
<x:worksheet xmlns:x="http://schemas.openxmlformats.org/spreadsheetml/2006/main">
  <x:sheetPr>
    <x:tabColor rgb="FFD6B65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3" hidden="0" customWidth="1"/>
    <x:col min="4" max="4" width="48" hidden="0" customWidth="1"/>
  </x:cols>
  <x:sheetData>
    <x:row r="1" ht="22" customHeight="1">
      <x:c r="A1" s="48" t="str">
        <x:v>YYYYQN</x:v>
      </x:c>
      <x:c r="B1" s="48" t="str">
        <x:v>SNV_HC</x:v>
      </x:c>
      <x:c r="C1" s="1"/>
      <x:c r="D1" s="50" t="str">
        <x:v>来源：用户提供的两张截图。SNV_HC 为 SNV 员工人数。</x:v>
      </x:c>
    </x:row>
    <x:row r="2" ht="20" customHeight="1">
      <x:c r="A2" s="49" t="n">
        <x:v>201103</x:v>
      </x:c>
      <x:c r="B2" s="13" t="n">
        <x:v>5362</x:v>
      </x:c>
      <x:c r="C2" s="1"/>
      <x:c r="D2" s="1"/>
    </x:row>
    <x:row r="3" ht="20" customHeight="1">
      <x:c r="A3" s="49" t="n">
        <x:v>201106</x:v>
      </x:c>
      <x:c r="B3" s="13" t="n">
        <x:v>5260</x:v>
      </x:c>
      <x:c r="C3" s="1"/>
      <x:c r="D3" s="1"/>
    </x:row>
    <x:row r="4" ht="20" customHeight="1">
      <x:c r="A4" s="49" t="n">
        <x:v>201109</x:v>
      </x:c>
      <x:c r="B4" s="13" t="n">
        <x:v>5146</x:v>
      </x:c>
      <x:c r="C4" s="1"/>
      <x:c r="D4" s="1"/>
    </x:row>
    <x:row r="5" ht="20" customHeight="1">
      <x:c r="A5" s="49" t="n">
        <x:v>201112</x:v>
      </x:c>
      <x:c r="B5" s="13" t="n">
        <x:v>5086</x:v>
      </x:c>
      <x:c r="C5" s="1"/>
      <x:c r="D5" s="1"/>
    </x:row>
    <x:row r="6" ht="20" customHeight="1">
      <x:c r="A6" s="49" t="n">
        <x:v>201203</x:v>
      </x:c>
      <x:c r="B6" s="13" t="n">
        <x:v>5022</x:v>
      </x:c>
      <x:c r="C6" s="1"/>
      <x:c r="D6" s="1"/>
    </x:row>
    <x:row r="7" ht="20" customHeight="1">
      <x:c r="A7" s="49" t="n">
        <x:v>201206</x:v>
      </x:c>
      <x:c r="B7" s="13" t="n">
        <x:v>5008</x:v>
      </x:c>
      <x:c r="C7" s="1"/>
      <x:c r="D7" s="1"/>
    </x:row>
    <x:row r="8" ht="20" customHeight="1">
      <x:c r="A8" s="49" t="n">
        <x:v>201209</x:v>
      </x:c>
      <x:c r="B8" s="13" t="n">
        <x:v>4896</x:v>
      </x:c>
      <x:c r="C8" s="1"/>
      <x:c r="D8" s="1"/>
    </x:row>
    <x:row r="9" ht="20" customHeight="1">
      <x:c r="A9" s="49" t="n">
        <x:v>201212</x:v>
      </x:c>
      <x:c r="B9" s="13" t="n">
        <x:v>4822</x:v>
      </x:c>
      <x:c r="C9" s="1"/>
      <x:c r="D9" s="1"/>
    </x:row>
    <x:row r="10" ht="20" customHeight="1">
      <x:c r="A10" s="49" t="n">
        <x:v>201303</x:v>
      </x:c>
      <x:c r="B10" s="13" t="n">
        <x:v>4652</x:v>
      </x:c>
      <x:c r="C10" s="1"/>
      <x:c r="D10" s="1"/>
    </x:row>
    <x:row r="11" ht="20" customHeight="1">
      <x:c r="A11" s="49" t="n">
        <x:v>201306</x:v>
      </x:c>
      <x:c r="B11" s="13" t="n">
        <x:v>4606</x:v>
      </x:c>
      <x:c r="C11" s="1"/>
      <x:c r="D11" s="1"/>
    </x:row>
    <x:row r="12" ht="20" customHeight="1">
      <x:c r="A12" s="49" t="n">
        <x:v>201309</x:v>
      </x:c>
      <x:c r="B12" s="13" t="n">
        <x:v>4571</x:v>
      </x:c>
      <x:c r="C12" s="1"/>
      <x:c r="D12" s="1"/>
    </x:row>
    <x:row r="13" ht="20" customHeight="1">
      <x:c r="A13" s="49" t="n">
        <x:v>201312</x:v>
      </x:c>
      <x:c r="B13" s="13" t="n">
        <x:v>4550</x:v>
      </x:c>
      <x:c r="C13" s="1"/>
      <x:c r="D13" s="1"/>
    </x:row>
    <x:row r="14" ht="20" customHeight="1">
      <x:c r="A14" s="49" t="n">
        <x:v>201403</x:v>
      </x:c>
      <x:c r="B14" s="13" t="n">
        <x:v>4494</x:v>
      </x:c>
      <x:c r="C14" s="1"/>
      <x:c r="D14" s="1"/>
    </x:row>
    <x:row r="15" ht="20" customHeight="1">
      <x:c r="A15" s="49" t="n">
        <x:v>201406</x:v>
      </x:c>
      <x:c r="B15" s="13" t="n">
        <x:v>4496</x:v>
      </x:c>
      <x:c r="C15" s="1"/>
      <x:c r="D15" s="1"/>
    </x:row>
    <x:row r="16" ht="20" customHeight="1">
      <x:c r="A16" s="49" t="n">
        <x:v>201409</x:v>
      </x:c>
      <x:c r="B16" s="13" t="n">
        <x:v>4421</x:v>
      </x:c>
      <x:c r="C16" s="1"/>
      <x:c r="D16" s="1"/>
    </x:row>
    <x:row r="17" ht="20" customHeight="1">
      <x:c r="A17" s="49" t="n">
        <x:v>201412</x:v>
      </x:c>
      <x:c r="B17" s="13" t="n">
        <x:v>4372</x:v>
      </x:c>
      <x:c r="C17" s="1"/>
      <x:c r="D17" s="1"/>
    </x:row>
    <x:row r="18" ht="20" customHeight="1">
      <x:c r="A18" s="49" t="n">
        <x:v>201503</x:v>
      </x:c>
      <x:c r="B18" s="13" t="n">
        <x:v>4331</x:v>
      </x:c>
      <x:c r="C18" s="1"/>
      <x:c r="D18" s="1"/>
    </x:row>
    <x:row r="19" ht="20" customHeight="1">
      <x:c r="A19" s="49" t="n">
        <x:v>201506</x:v>
      </x:c>
      <x:c r="B19" s="13" t="n">
        <x:v>4303</x:v>
      </x:c>
      <x:c r="C19" s="1"/>
      <x:c r="D19" s="1"/>
    </x:row>
    <x:row r="20" ht="20" customHeight="1">
      <x:c r="A20" s="49" t="n">
        <x:v>201509</x:v>
      </x:c>
      <x:c r="B20" s="13" t="n">
        <x:v>4280</x:v>
      </x:c>
      <x:c r="C20" s="1"/>
      <x:c r="D20" s="1"/>
    </x:row>
    <x:row r="21" ht="20" customHeight="1">
      <x:c r="A21" s="49" t="n">
        <x:v>201512</x:v>
      </x:c>
      <x:c r="B21" s="13" t="n">
        <x:v>4299</x:v>
      </x:c>
      <x:c r="C21" s="1"/>
      <x:c r="D21" s="1"/>
    </x:row>
    <x:row r="22" ht="20" customHeight="1">
      <x:c r="A22" s="49" t="n">
        <x:v>201603</x:v>
      </x:c>
      <x:c r="B22" s="13" t="n">
        <x:v>4221</x:v>
      </x:c>
      <x:c r="C22" s="1"/>
      <x:c r="D22" s="1"/>
    </x:row>
    <x:row r="23" ht="20" customHeight="1">
      <x:c r="A23" s="49" t="n">
        <x:v>201606</x:v>
      </x:c>
      <x:c r="B23" s="13" t="n">
        <x:v>4213</x:v>
      </x:c>
      <x:c r="C23" s="1"/>
      <x:c r="D23" s="1"/>
    </x:row>
    <x:row r="24" ht="20" customHeight="1">
      <x:c r="A24" s="49" t="n">
        <x:v>201609</x:v>
      </x:c>
      <x:c r="B24" s="13" t="n">
        <x:v>4187</x:v>
      </x:c>
      <x:c r="C24" s="1"/>
      <x:c r="D24" s="1"/>
    </x:row>
    <x:row r="25" ht="20" customHeight="1">
      <x:c r="A25" s="49" t="n">
        <x:v>201612</x:v>
      </x:c>
      <x:c r="B25" s="13" t="n">
        <x:v>4269</x:v>
      </x:c>
      <x:c r="C25" s="1"/>
      <x:c r="D25" s="1"/>
    </x:row>
    <x:row r="26" ht="20" customHeight="1">
      <x:c r="A26" s="49" t="n">
        <x:v>201703</x:v>
      </x:c>
      <x:c r="B26" s="13" t="n">
        <x:v>4284</x:v>
      </x:c>
      <x:c r="C26" s="1"/>
      <x:c r="D26" s="1"/>
    </x:row>
    <x:row r="27" ht="20" customHeight="1">
      <x:c r="A27" s="49" t="n">
        <x:v>201706</x:v>
      </x:c>
      <x:c r="B27" s="13" t="n">
        <x:v>4272</x:v>
      </x:c>
      <x:c r="C27" s="1"/>
      <x:c r="D27" s="1"/>
    </x:row>
    <x:row r="28" ht="20" customHeight="1">
      <x:c r="A28" s="49" t="n">
        <x:v>201709</x:v>
      </x:c>
      <x:c r="B28" s="13" t="n">
        <x:v>4313</x:v>
      </x:c>
      <x:c r="C28" s="1"/>
      <x:c r="D28" s="1"/>
    </x:row>
    <x:row r="29" ht="20" customHeight="1">
      <x:c r="A29" s="49" t="n">
        <x:v>201712</x:v>
      </x:c>
      <x:c r="B29" s="13" t="n">
        <x:v>4352</x:v>
      </x:c>
      <x:c r="C29" s="1"/>
      <x:c r="D29" s="1"/>
    </x:row>
    <x:row r="30" ht="20" customHeight="1">
      <x:c r="A30" s="49" t="n">
        <x:v>201803</x:v>
      </x:c>
      <x:c r="B30" s="13" t="n">
        <x:v>4384</x:v>
      </x:c>
      <x:c r="C30" s="1"/>
      <x:c r="D30" s="1"/>
    </x:row>
    <x:row r="31" ht="20" customHeight="1">
      <x:c r="A31" s="49" t="n">
        <x:v>201806</x:v>
      </x:c>
      <x:c r="B31" s="13" t="n">
        <x:v>4411</x:v>
      </x:c>
      <x:c r="C31" s="1"/>
      <x:c r="D31" s="1"/>
    </x:row>
    <x:row r="32" ht="20" customHeight="1">
      <x:c r="A32" s="49" t="n">
        <x:v>201809</x:v>
      </x:c>
      <x:c r="B32" s="13" t="n">
        <x:v>4434</x:v>
      </x:c>
      <x:c r="C32" s="1"/>
      <x:c r="D32" s="1"/>
    </x:row>
    <x:row r="33" ht="20" customHeight="1">
      <x:c r="A33" s="49" t="n">
        <x:v>201812</x:v>
      </x:c>
      <x:c r="B33" s="13" t="n">
        <x:v>4466</x:v>
      </x:c>
      <x:c r="C33" s="1"/>
      <x:c r="D33" s="1"/>
    </x:row>
    <x:row r="34" ht="20" customHeight="1">
      <x:c r="A34" s="49" t="n">
        <x:v>201903</x:v>
      </x:c>
      <x:c r="B34" s="13" t="n">
        <x:v>5173</x:v>
      </x:c>
      <x:c r="C34" s="1"/>
      <x:c r="D34" s="1"/>
    </x:row>
    <x:row r="35" ht="20" customHeight="1">
      <x:c r="A35" s="49" t="n">
        <x:v>201906</x:v>
      </x:c>
      <x:c r="B35" s="13" t="n">
        <x:v>5158</x:v>
      </x:c>
      <x:c r="C35" s="1"/>
      <x:c r="D35" s="1"/>
    </x:row>
    <x:row r="36" ht="20" customHeight="1">
      <x:c r="A36" s="49" t="n">
        <x:v>201909</x:v>
      </x:c>
      <x:c r="B36" s="13" t="n">
        <x:v>5229</x:v>
      </x:c>
      <x:c r="C36" s="1"/>
      <x:c r="D36" s="1"/>
    </x:row>
    <x:row r="37" ht="20" customHeight="1">
      <x:c r="A37" s="49" t="n">
        <x:v>201912</x:v>
      </x:c>
      <x:c r="B37" s="13" t="n">
        <x:v>5219</x:v>
      </x:c>
      <x:c r="C37" s="1"/>
      <x:c r="D37" s="1"/>
    </x:row>
    <x:row r="38" ht="20" customHeight="1">
      <x:c r="A38" s="49" t="n">
        <x:v>202003</x:v>
      </x:c>
      <x:c r="B38" s="13" t="n">
        <x:v>5302</x:v>
      </x:c>
      <x:c r="C38" s="1"/>
      <x:c r="D38" s="1"/>
    </x:row>
    <x:row r="39" ht="20" customHeight="1">
      <x:c r="A39" s="49" t="n">
        <x:v>202006</x:v>
      </x:c>
      <x:c r="B39" s="13" t="n">
        <x:v>5308</x:v>
      </x:c>
      <x:c r="C39" s="1"/>
      <x:c r="D39" s="1"/>
    </x:row>
    <x:row r="40" ht="20" customHeight="1">
      <x:c r="A40" s="49" t="n">
        <x:v>202009</x:v>
      </x:c>
      <x:c r="B40" s="13" t="n">
        <x:v>5232</x:v>
      </x:c>
      <x:c r="C40" s="1"/>
      <x:c r="D40" s="1"/>
    </x:row>
    <x:row r="41" ht="20" customHeight="1">
      <x:c r="A41" s="49" t="n">
        <x:v>202012</x:v>
      </x:c>
      <x:c r="B41" s="13" t="n">
        <x:v>5134</x:v>
      </x:c>
      <x:c r="C41" s="1"/>
      <x:c r="D41" s="1"/>
    </x:row>
    <x:row r="42" ht="20" customHeight="1">
      <x:c r="A42" s="49" t="n">
        <x:v>202103</x:v>
      </x:c>
      <x:c r="B42" s="13" t="n">
        <x:v>5061</x:v>
      </x:c>
      <x:c r="C42" s="1"/>
      <x:c r="D42" s="1"/>
    </x:row>
    <x:row r="43" ht="20" customHeight="1">
      <x:c r="A43" s="49" t="n">
        <x:v>202106</x:v>
      </x:c>
      <x:c r="B43" s="13" t="n">
        <x:v>4983</x:v>
      </x:c>
      <x:c r="C43" s="1"/>
      <x:c r="D43" s="1"/>
    </x:row>
    <x:row r="44" ht="20" customHeight="1">
      <x:c r="A44" s="49" t="n">
        <x:v>202109</x:v>
      </x:c>
      <x:c r="B44" s="13" t="n">
        <x:v>4953</x:v>
      </x:c>
      <x:c r="C44" s="1"/>
      <x:c r="D44" s="1"/>
    </x:row>
    <x:row r="45" ht="20" customHeight="1">
      <x:c r="A45" s="49" t="n">
        <x:v>202112</x:v>
      </x:c>
      <x:c r="B45" s="13" t="n">
        <x:v>4887</x:v>
      </x:c>
      <x:c r="C45" s="1"/>
      <x:c r="D45" s="1"/>
    </x:row>
    <x:row r="46" ht="20" customHeight="1">
      <x:c r="A46" s="49" t="n">
        <x:v>202203</x:v>
      </x:c>
      <x:c r="B46" s="13" t="n">
        <x:v>4907</x:v>
      </x:c>
      <x:c r="C46" s="1"/>
      <x:c r="D46" s="1"/>
    </x:row>
    <x:row r="47" ht="20" customHeight="1">
      <x:c r="A47" s="49" t="n">
        <x:v>202206</x:v>
      </x:c>
      <x:c r="B47" s="13" t="n">
        <x:v>5005</x:v>
      </x:c>
      <x:c r="C47" s="1"/>
      <x:c r="D47" s="1"/>
    </x:row>
    <x:row r="48" ht="20" customHeight="1">
      <x:c r="A48" s="49" t="n">
        <x:v>202209</x:v>
      </x:c>
      <x:c r="B48" s="13" t="n">
        <x:v>5033</x:v>
      </x:c>
      <x:c r="C48" s="1"/>
      <x:c r="D48" s="1"/>
    </x:row>
    <x:row r="49" ht="20" customHeight="1">
      <x:c r="A49" s="49" t="n">
        <x:v>202212</x:v>
      </x:c>
      <x:c r="B49" s="13" t="n">
        <x:v>5027</x:v>
      </x:c>
      <x:c r="C49" s="1"/>
      <x:c r="D49" s="1"/>
    </x:row>
    <x:row r="50" ht="20" customHeight="1">
      <x:c r="A50" s="49" t="n">
        <x:v>202303</x:v>
      </x:c>
      <x:c r="B50" s="13" t="n">
        <x:v>5072</x:v>
      </x:c>
      <x:c r="C50" s="1"/>
      <x:c r="D50" s="1"/>
    </x:row>
    <x:row r="51" ht="20" customHeight="1">
      <x:c r="A51" s="49" t="n">
        <x:v>202306</x:v>
      </x:c>
      <x:c r="B51" s="13" t="n">
        <x:v>5097</x:v>
      </x:c>
      <x:c r="C51" s="1"/>
      <x:c r="D51" s="1"/>
    </x:row>
    <x:row r="52" ht="20" customHeight="1">
      <x:c r="A52" s="49" t="n">
        <x:v>202309</x:v>
      </x:c>
      <x:c r="B52" s="13" t="n">
        <x:v>4916</x:v>
      </x:c>
      <x:c r="C52" s="1"/>
      <x:c r="D52" s="1"/>
    </x:row>
    <x:row r="53" ht="20" customHeight="1">
      <x:c r="A53" s="49" t="n">
        <x:v>202312</x:v>
      </x:c>
      <x:c r="B53" s="13" t="n">
        <x:v>4798</x:v>
      </x:c>
      <x:c r="C53" s="1"/>
      <x:c r="D53" s="1"/>
    </x:row>
    <x:row r="54" ht="20" customHeight="1">
      <x:c r="A54" s="49" t="n">
        <x:v>202403</x:v>
      </x:c>
      <x:c r="B54" s="13" t="n">
        <x:v>4732</x:v>
      </x:c>
      <x:c r="C54" s="1"/>
      <x:c r="D54" s="1"/>
    </x:row>
    <x:row r="55" ht="20" customHeight="1">
      <x:c r="A55" s="49" t="n">
        <x:v>202406</x:v>
      </x:c>
      <x:c r="B55" s="13" t="n">
        <x:v>4726</x:v>
      </x:c>
      <x:c r="C55" s="1"/>
      <x:c r="D55" s="1"/>
    </x:row>
    <x:row r="56" ht="20" customHeight="1">
      <x:c r="A56" s="49" t="n">
        <x:v>202409</x:v>
      </x:c>
      <x:c r="B56" s="13" t="n">
        <x:v>4728</x:v>
      </x:c>
      <x:c r="C56" s="1"/>
      <x:c r="D56" s="1"/>
    </x:row>
    <x:row r="57" ht="20" customHeight="1">
      <x:c r="A57" s="49" t="n">
        <x:v>202412</x:v>
      </x:c>
      <x:c r="B57" s="13" t="n">
        <x:v>4696</x:v>
      </x:c>
      <x:c r="C57" s="1"/>
      <x:c r="D57" s="1"/>
    </x:row>
    <x:row r="58" ht="20" customHeight="1">
      <x:c r="A58" s="49" t="n">
        <x:v>202503</x:v>
      </x:c>
      <x:c r="B58" s="13" t="n">
        <x:v>4720</x:v>
      </x:c>
      <x:c r="C58" s="1"/>
      <x:c r="D58" s="1"/>
    </x:row>
    <x:row r="59" ht="20" customHeight="1">
      <x:c r="A59" s="49" t="n">
        <x:v>202506</x:v>
      </x:c>
      <x:c r="B59" s="13" t="n">
        <x:v>4804</x:v>
      </x:c>
      <x:c r="C59" s="1"/>
      <x:c r="D59" s="1"/>
    </x:row>
    <x:row r="60" ht="20" customHeight="1">
      <x:c r="A60" s="49" t="n">
        <x:v>202509</x:v>
      </x:c>
      <x:c r="B60" s="13" t="n">
        <x:v>4847</x:v>
      </x:c>
      <x:c r="C60" s="1"/>
      <x:c r="D60" s="1"/>
    </x:row>
    <x:row r="61" ht="20" customHeight="1">
      <x:c r="A61" s="49" t="n">
        <x:v>202512</x:v>
      </x:c>
      <x:c r="B61" s="13" t="n">
        <x:v>4838</x:v>
      </x:c>
      <x:c r="C61" s="1"/>
      <x:c r="D61" s="1"/>
    </x:row>
  </x:sheetData>
  <x:pageMargins left="0.7" right="0.7" top="0.75" bottom="0.75" header="0.3" footer="0.3"/>
  <x:tableParts count="1">
    <x:tablePart xmlns:r="http://schemas.openxmlformats.org/officeDocument/2006/relationships" r:id="R8e11e10bdcc44a24"/>
  </x:tableParts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9" hidden="0" customWidth="1"/>
    <x:col min="3" max="3" width="16" hidden="0" customWidth="1"/>
    <x:col min="4" max="4" width="16" hidden="0" customWidth="1"/>
    <x:col min="5" max="5" width="11" hidden="0" customWidth="1"/>
    <x:col min="6" max="6" width="11" hidden="0" customWidth="1"/>
    <x:col min="7" max="7" width="18" hidden="0" customWidth="1"/>
    <x:col min="8" max="8" width="16" hidden="0" customWidth="1"/>
    <x:col min="9" max="9" width="16" hidden="0" customWidth="1"/>
    <x:col min="10" max="10" width="11" hidden="0" customWidth="1"/>
    <x:col min="11" max="11" width="3" hidden="0" customWidth="1"/>
    <x:col min="12" max="12" width="22" hidden="0" customWidth="1"/>
    <x:col min="13" max="13" width="23" hidden="0" customWidth="1"/>
    <x:col min="14" max="14" width="10" hidden="0" customWidth="1"/>
    <x:col min="15" max="15" width="22" hidden="0" customWidth="1"/>
    <x:col min="16" max="16" width="10" hidden="0" customWidth="1"/>
    <x:col min="17" max="17" width="12" hidden="0" customWidth="1"/>
    <x:col min="18" max="18" width="12" hidden="0" customWidth="1"/>
    <x:col min="19" max="19" width="12" hidden="0" customWidth="1"/>
  </x:cols>
  <x:sheetData>
    <x:row r="1">
      <x:c r="A1" s="55" t="str">
        <x:v>OCC Ratio Time-Series Fit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12" t="str">
        <x:v>Trend Summary</x:v>
      </x:c>
      <x:c r="M1" s="1"/>
      <x:c r="N1" s="1"/>
      <x:c r="O1" s="1"/>
      <x:c r="P1" s="1"/>
    </x:row>
    <x:row r="2">
      <x:c r="A2" s="56" t="str">
        <x:v>OCC is the quarterly sum of three monthly observations. The preferred asset ratio uses three-month average assets; headcount is quarter-end.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31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16" t="str">
        <x:v>Period</x:v>
      </x:c>
      <x:c r="M3" s="116" t="str">
        <x:v>OCC/Avg Assets slope per year (bps)</x:v>
      </x:c>
      <x:c r="N3" s="116" t="str">
        <x:v>R²</x:v>
      </x:c>
      <x:c r="O3" s="116" t="str">
        <x:v>OCC/HC slope per year</x:v>
      </x:c>
      <x:c r="P3" s="116" t="str">
        <x:v>R²</x:v>
      </x:c>
    </x:row>
    <x:row r="4" ht="32" customHeight="1">
      <x:c r="A4" s="111" t="str">
        <x:v>Quarter</x:v>
      </x:c>
      <x:c r="B4" s="111" t="str">
        <x:v>OCC / Avg Assets (bps)</x:v>
      </x:c>
      <x:c r="C4" s="111" t="str">
        <x:v>Full-Sample Fit</x:v>
      </x:c>
      <x:c r="D4" s="111" t="str">
        <x:v>Segmented Fit</x:v>
      </x:c>
      <x:c r="E4" s="111" t="str">
        <x:v>Time Index</x:v>
      </x:c>
      <x:c r="F4" s="111" t="str">
        <x:v>Quarter</x:v>
      </x:c>
      <x:c r="G4" s="111" t="str">
        <x:v>OCC / Headcount</x:v>
      </x:c>
      <x:c r="H4" s="111" t="str">
        <x:v>Full-Sample Fit</x:v>
      </x:c>
      <x:c r="I4" s="111" t="str">
        <x:v>Segmented Fit</x:v>
      </x:c>
      <x:c r="J4" s="111" t="str">
        <x:v>Time Index</x:v>
      </x:c>
      <x:c r="K4" s="1"/>
      <x:c r="L4" s="133" t="str">
        <x:v>Full sample</x:v>
      </x:c>
      <x:c r="M4" s="74" t="n">
        <x:f>SLOPE($B$5:$B$64,$E$5:$E$64)*4</x:f>
        <x:v>-0.20579245183169564</x:v>
      </x:c>
      <x:c r="N4" s="74" t="n">
        <x:f>RSQ($B$5:$B$64,$E$5:$E$64)</x:f>
        <x:v>0.7212520823540856</x:v>
      </x:c>
      <x:c r="O4" s="75" t="n">
        <x:f>SLOPE($G$5:$G$64,$J$5:$J$64)*4</x:f>
        <x:v>356.98372544191614</x:v>
      </x:c>
      <x:c r="P4" s="74" t="n">
        <x:f>RSQ($G$5:$G$64,$J$5:$J$64)</x:f>
        <x:v>0.9669909378140074</x:v>
      </x:c>
    </x:row>
    <x:row r="5" ht="19" customHeight="1">
      <x:c r="A5" s="120" t="str">
        <x:f>Quarterly!A6</x:f>
        <x:v>2011 Q1</x:v>
      </x:c>
      <x:c r="B5" s="123" t="n">
        <x:f>Quarterly!I6</x:f>
        <x:v>10.20287255219516</x:v>
      </x:c>
      <x:c r="C5" s="123" t="n">
        <x:f>INTERCEPT($B$5:$B$64,$E$5:$E$64)+SLOPE($B$5:$B$64,$E$5:$E$64)*E5</x:f>
        <x:v>10.431957540572855</x:v>
      </x:c>
      <x:c r="D5" s="123" t="n">
        <x:f>IF(E5&lt;=31,INTERCEPT($B$5:$B$36,$E$5:$E$36)+SLOPE($B$5:$B$36,$E$5:$E$36)*E5,INTERCEPT($B$37:$B$64,$E$37:$E$64)+SLOPE($B$37:$B$64,$E$37:$E$64)*E5)</x:f>
        <x:v>9.915272915579012</x:v>
      </x:c>
      <x:c r="E5" s="129" t="n">
        <x:f>0</x:f>
        <x:v>0</x:v>
      </x:c>
      <x:c r="F5" s="120" t="str">
        <x:f>Quarterly!A6</x:f>
        <x:v>2011 Q1</x:v>
      </x:c>
      <x:c r="G5" s="126" t="n">
        <x:f>Quarterly!J6</x:f>
        <x:v>5564.057392763894</x:v>
      </x:c>
      <x:c r="H5" s="126" t="n">
        <x:f>INTERCEPT($G$5:$G$64,$J$5:$J$64)+SLOPE($G$5:$G$64,$J$5:$J$64)*J5</x:f>
        <x:v>4817.955272060521</x:v>
      </x:c>
      <x:c r="I5" s="126" t="n">
        <x:f>IF(J5&lt;=31,INTERCEPT($G$5:$G$36,$J$5:$J$36)+SLOPE($G$5:$G$36,$J$5:$J$36)*J5,INTERCEPT($G$37:$G$64,$J$37:$J$64)+SLOPE($G$37:$G$64,$J$37:$J$64)*J5)</x:f>
        <x:v>5058.278426785082</x:v>
      </x:c>
      <x:c r="J5" s="129" t="n">
        <x:f>0</x:f>
        <x:v>0</x:v>
      </x:c>
      <x:c r="K5" s="1"/>
      <x:c r="L5" s="134" t="str">
        <x:v>Pre-2019 Q1</x:v>
      </x:c>
      <x:c r="M5" s="80" t="n">
        <x:f>SLOPE($B$5:$B$36,$E$5:$E$36)*4</x:f>
        <x:v>-0.023307922508470663</x:v>
      </x:c>
      <x:c r="N5" s="80" t="n">
        <x:f>RSQ($B$5:$B$36,$E$5:$E$36)</x:f>
        <x:v>0.024506830149108462</x:v>
      </x:c>
      <x:c r="O5" s="81" t="n">
        <x:f>SLOPE($G$5:$G$36,$J$5:$J$36)*4</x:f>
        <x:v>289.6958973689017</x:v>
      </x:c>
      <x:c r="P5" s="80" t="n">
        <x:f>RSQ($G$5:$G$36,$J$5:$J$36)</x:f>
        <x:v>0.922151961603481</x:v>
      </x:c>
    </x:row>
    <x:row r="6" ht="19" customHeight="1">
      <x:c r="A6" s="121" t="str">
        <x:f>Quarterly!A7</x:f>
        <x:v>2011 Q2</x:v>
      </x:c>
      <x:c r="B6" s="124" t="n">
        <x:f>Quarterly!I7</x:f>
        <x:v>10.143996022454012</x:v>
      </x:c>
      <x:c r="C6" s="124" t="n">
        <x:f>INTERCEPT($B$5:$B$64,$E$5:$E$64)+SLOPE($B$5:$B$64,$E$5:$E$64)*E6</x:f>
        <x:v>10.38050942761493</x:v>
      </x:c>
      <x:c r="D6" s="124" t="n">
        <x:f>IF(E6&lt;=31,INTERCEPT($B$5:$B$36,$E$5:$E$36)+SLOPE($B$5:$B$36,$E$5:$E$36)*E6,INTERCEPT($B$37:$B$64,$E$37:$E$64)+SLOPE($B$37:$B$64,$E$37:$E$64)*E6)</x:f>
        <x:v>9.909445934951894</x:v>
      </x:c>
      <x:c r="E6" s="130" t="n">
        <x:f>1</x:f>
        <x:v>1</x:v>
      </x:c>
      <x:c r="F6" s="121" t="str">
        <x:f>Quarterly!A7</x:f>
        <x:v>2011 Q2</x:v>
      </x:c>
      <x:c r="G6" s="127" t="n">
        <x:f>Quarterly!J7</x:f>
        <x:v>5490.927292775666</x:v>
      </x:c>
      <x:c r="H6" s="127" t="n">
        <x:f>INTERCEPT($G$5:$G$64,$J$5:$J$64)+SLOPE($G$5:$G$64,$J$5:$J$64)*J6</x:f>
        <x:v>4907.201203420999</x:v>
      </x:c>
      <x:c r="I6" s="127" t="n">
        <x:f>IF(J6&lt;=31,INTERCEPT($G$5:$G$36,$J$5:$J$36)+SLOPE($G$5:$G$36,$J$5:$J$36)*J6,INTERCEPT($G$37:$G$64,$J$37:$J$64)+SLOPE($G$37:$G$64,$J$37:$J$64)*J6)</x:f>
        <x:v>5130.702401127308</x:v>
      </x:c>
      <x:c r="J6" s="130" t="n">
        <x:f>1</x:f>
        <x:v>1</x:v>
      </x:c>
      <x:c r="K6" s="1"/>
      <x:c r="L6" s="134" t="str">
        <x:v>Post-2019 Q1</x:v>
      </x:c>
      <x:c r="M6" s="80" t="n">
        <x:f>SLOPE($B$37:$B$64,$E$37:$E$64)*4</x:f>
        <x:v>-0.07799658956598221</x:v>
      </x:c>
      <x:c r="N6" s="80" t="n">
        <x:f>RSQ($B$37:$B$64,$E$37:$E$64)</x:f>
        <x:v>0.12896380893635595</x:v>
      </x:c>
      <x:c r="O6" s="81" t="n">
        <x:f>SLOPE($G$37:$G$64,$J$37:$J$64)*4</x:f>
        <x:v>414.5421421901681</x:v>
      </x:c>
      <x:c r="P6" s="80" t="n">
        <x:f>RSQ($G$37:$G$64,$J$37:$J$64)</x:f>
        <x:v>0.8867614277980442</x:v>
      </x:c>
    </x:row>
    <x:row r="7" ht="19" customHeight="1">
      <x:c r="A7" s="121" t="str">
        <x:f>Quarterly!A8</x:f>
        <x:v>2011 Q3</x:v>
      </x:c>
      <x:c r="B7" s="124" t="n">
        <x:f>Quarterly!I8</x:f>
        <x:v>9.884122058847936</x:v>
      </x:c>
      <x:c r="C7" s="124" t="n">
        <x:f>INTERCEPT($B$5:$B$64,$E$5:$E$64)+SLOPE($B$5:$B$64,$E$5:$E$64)*E7</x:f>
        <x:v>10.329061314657007</x:v>
      </x:c>
      <x:c r="D7" s="124" t="n">
        <x:f>IF(E7&lt;=31,INTERCEPT($B$5:$B$36,$E$5:$E$36)+SLOPE($B$5:$B$36,$E$5:$E$36)*E7,INTERCEPT($B$37:$B$64,$E$37:$E$64)+SLOPE($B$37:$B$64,$E$37:$E$64)*E7)</x:f>
        <x:v>9.903618954324775</x:v>
      </x:c>
      <x:c r="E7" s="130" t="n">
        <x:f>2</x:f>
        <x:v>2</x:v>
      </x:c>
      <x:c r="F7" s="121" t="str">
        <x:f>Quarterly!A8</x:f>
        <x:v>2011 Q3</x:v>
      </x:c>
      <x:c r="G7" s="127" t="n">
        <x:f>Quarterly!J8</x:f>
        <x:v>5437.51080839487</x:v>
      </x:c>
      <x:c r="H7" s="127" t="n">
        <x:f>INTERCEPT($G$5:$G$64,$J$5:$J$64)+SLOPE($G$5:$G$64,$J$5:$J$64)*J7</x:f>
        <x:v>4996.447134781479</x:v>
      </x:c>
      <x:c r="I7" s="127" t="n">
        <x:f>IF(J7&lt;=31,INTERCEPT($G$5:$G$36,$J$5:$J$36)+SLOPE($G$5:$G$36,$J$5:$J$36)*J7,INTERCEPT($G$37:$G$64,$J$37:$J$64)+SLOPE($G$37:$G$64,$J$37:$J$64)*J7)</x:f>
        <x:v>5203.126375469533</x:v>
      </x:c>
      <x:c r="J7" s="130" t="n">
        <x:f>2</x:f>
        <x:v>2</x:v>
      </x:c>
      <x:c r="K7" s="1"/>
      <x:c r="L7" s="135" t="str">
        <x:v>Since 2023 Q1</x:v>
      </x:c>
      <x:c r="M7" s="86" t="n">
        <x:f>SLOPE($B$53:$B$64,$E$53:$E$64)*4</x:f>
        <x:v>0.3280904756045968</x:v>
      </x:c>
      <x:c r="N7" s="86" t="n">
        <x:f>RSQ($B$53:$B$64,$E$53:$E$64)</x:f>
        <x:v>0.6472368869498323</x:v>
      </x:c>
      <x:c r="O7" s="87" t="n">
        <x:f>SLOPE($G$53:$G$64,$J$53:$J$64)*4</x:f>
        <x:v>596.9435069988717</x:v>
      </x:c>
      <x:c r="P7" s="86" t="n">
        <x:f>RSQ($G$53:$G$64,$J$53:$J$64)</x:f>
        <x:v>0.6696802475151161</x:v>
      </x:c>
    </x:row>
    <x:row r="8" ht="19" customHeight="1">
      <x:c r="A8" s="121" t="str">
        <x:f>Quarterly!A9</x:f>
        <x:v>2011 Q4</x:v>
      </x:c>
      <x:c r="B8" s="124" t="n">
        <x:f>Quarterly!I9</x:f>
        <x:v>9.94947750226926</x:v>
      </x:c>
      <x:c r="C8" s="124" t="n">
        <x:f>INTERCEPT($B$5:$B$64,$E$5:$E$64)+SLOPE($B$5:$B$64,$E$5:$E$64)*E8</x:f>
        <x:v>10.277613201699083</x:v>
      </x:c>
      <x:c r="D8" s="124" t="n">
        <x:f>IF(E8&lt;=31,INTERCEPT($B$5:$B$36,$E$5:$E$36)+SLOPE($B$5:$B$36,$E$5:$E$36)*E8,INTERCEPT($B$37:$B$64,$E$37:$E$64)+SLOPE($B$37:$B$64,$E$37:$E$64)*E8)</x:f>
        <x:v>9.89779197369766</x:v>
      </x:c>
      <x:c r="E8" s="130" t="n">
        <x:f>3</x:f>
        <x:v>3</x:v>
      </x:c>
      <x:c r="F8" s="121" t="str">
        <x:f>Quarterly!A9</x:f>
        <x:v>2011 Q4</x:v>
      </x:c>
      <x:c r="G8" s="127" t="n">
        <x:f>Quarterly!J9</x:f>
        <x:v>5375.22882618954</x:v>
      </x:c>
      <x:c r="H8" s="127" t="n">
        <x:f>INTERCEPT($G$5:$G$64,$J$5:$J$64)+SLOPE($G$5:$G$64,$J$5:$J$64)*J8</x:f>
        <x:v>5085.693066141957</x:v>
      </x:c>
      <x:c r="I8" s="127" t="n">
        <x:f>IF(J8&lt;=31,INTERCEPT($G$5:$G$36,$J$5:$J$36)+SLOPE($G$5:$G$36,$J$5:$J$36)*J8,INTERCEPT($G$37:$G$64,$J$37:$J$64)+SLOPE($G$37:$G$64,$J$37:$J$64)*J8)</x:f>
        <x:v>5275.550349811759</x:v>
      </x:c>
      <x:c r="J8" s="130" t="n">
        <x:f>3</x:f>
        <x:v>3</x:v>
      </x:c>
      <x:c r="K8" s="1"/>
      <x:c r="L8" s="1"/>
      <x:c r="M8" s="1"/>
      <x:c r="N8" s="1"/>
      <x:c r="O8" s="1"/>
      <x:c r="P8" s="1"/>
    </x:row>
    <x:row r="9" ht="19" customHeight="1">
      <x:c r="A9" s="121" t="str">
        <x:f>Quarterly!A10</x:f>
        <x:v>2012 Q1</x:v>
      </x:c>
      <x:c r="B9" s="124" t="n">
        <x:f>Quarterly!I10</x:f>
        <x:v>9.909424029788148</x:v>
      </x:c>
      <x:c r="C9" s="124" t="n">
        <x:f>INTERCEPT($B$5:$B$64,$E$5:$E$64)+SLOPE($B$5:$B$64,$E$5:$E$64)*E9</x:f>
        <x:v>10.226165088741158</x:v>
      </x:c>
      <x:c r="D9" s="124" t="n">
        <x:f>IF(E9&lt;=31,INTERCEPT($B$5:$B$36,$E$5:$E$36)+SLOPE($B$5:$B$36,$E$5:$E$36)*E9,INTERCEPT($B$37:$B$64,$E$37:$E$64)+SLOPE($B$37:$B$64,$E$37:$E$64)*E9)</x:f>
        <x:v>9.891964993070541</x:v>
      </x:c>
      <x:c r="E9" s="130" t="n">
        <x:f>4</x:f>
        <x:v>4</x:v>
      </x:c>
      <x:c r="F9" s="121" t="str">
        <x:f>Quarterly!A10</x:f>
        <x:v>2012 Q1</x:v>
      </x:c>
      <x:c r="G9" s="127" t="n">
        <x:f>Quarterly!J10</x:f>
        <x:v>5317.8637913182</x:v>
      </x:c>
      <x:c r="H9" s="127" t="n">
        <x:f>INTERCEPT($G$5:$G$64,$J$5:$J$64)+SLOPE($G$5:$G$64,$J$5:$J$64)*J9</x:f>
        <x:v>5174.938997502437</x:v>
      </x:c>
      <x:c r="I9" s="127" t="n">
        <x:f>IF(J9&lt;=31,INTERCEPT($G$5:$G$36,$J$5:$J$36)+SLOPE($G$5:$G$36,$J$5:$J$36)*J9,INTERCEPT($G$37:$G$64,$J$37:$J$64)+SLOPE($G$37:$G$64,$J$37:$J$64)*J9)</x:f>
        <x:v>5347.974324153984</x:v>
      </x:c>
      <x:c r="J9" s="130" t="n">
        <x:f>4</x:f>
        <x:v>4</x:v>
      </x:c>
      <x:c r="K9" s="1"/>
      <x:c r="L9" s="112" t="str">
        <x:v>Selected Readings</x:v>
      </x:c>
      <x:c r="M9" s="1"/>
      <x:c r="N9" s="1"/>
      <x:c r="O9" s="1"/>
      <x:c r="P9" s="1"/>
    </x:row>
    <x:row r="10" ht="19" customHeight="1">
      <x:c r="A10" s="121" t="str">
        <x:f>Quarterly!A11</x:f>
        <x:v>2012 Q2</x:v>
      </x:c>
      <x:c r="B10" s="124" t="n">
        <x:f>Quarterly!I11</x:f>
        <x:v>9.867756821656162</x:v>
      </x:c>
      <x:c r="C10" s="124" t="n">
        <x:f>INTERCEPT($B$5:$B$64,$E$5:$E$64)+SLOPE($B$5:$B$64,$E$5:$E$64)*E10</x:f>
        <x:v>10.174716975783236</x:v>
      </x:c>
      <x:c r="D10" s="124" t="n">
        <x:f>IF(E10&lt;=31,INTERCEPT($B$5:$B$36,$E$5:$E$36)+SLOPE($B$5:$B$36,$E$5:$E$36)*E10,INTERCEPT($B$37:$B$64,$E$37:$E$64)+SLOPE($B$37:$B$64,$E$37:$E$64)*E10)</x:f>
        <x:v>9.886138012443423</x:v>
      </x:c>
      <x:c r="E10" s="130" t="n">
        <x:f>5</x:f>
        <x:v>5</x:v>
      </x:c>
      <x:c r="F10" s="121" t="str">
        <x:f>Quarterly!A11</x:f>
        <x:v>2012 Q2</x:v>
      </x:c>
      <x:c r="G10" s="127" t="n">
        <x:f>Quarterly!J11</x:f>
        <x:v>5223.382995207668</x:v>
      </x:c>
      <x:c r="H10" s="127" t="n">
        <x:f>INTERCEPT($G$5:$G$64,$J$5:$J$64)+SLOPE($G$5:$G$64,$J$5:$J$64)*J10</x:f>
        <x:v>5264.1849288629155</x:v>
      </x:c>
      <x:c r="I10" s="127" t="n">
        <x:f>IF(J10&lt;=31,INTERCEPT($G$5:$G$36,$J$5:$J$36)+SLOPE($G$5:$G$36,$J$5:$J$36)*J10,INTERCEPT($G$37:$G$64,$J$37:$J$64)+SLOPE($G$37:$G$64,$J$37:$J$64)*J10)</x:f>
        <x:v>5420.3982984962095</x:v>
      </x:c>
      <x:c r="J10" s="130" t="n">
        <x:f>5</x:f>
        <x:v>5</x:v>
      </x:c>
      <x:c r="K10" s="1"/>
      <x:c r="L10" s="1"/>
      <x:c r="M10" s="1"/>
      <x:c r="N10" s="1"/>
      <x:c r="O10" s="1"/>
      <x:c r="P10" s="1"/>
    </x:row>
    <x:row r="11" ht="19" customHeight="1">
      <x:c r="A11" s="121" t="str">
        <x:f>Quarterly!A12</x:f>
        <x:v>2012 Q3</x:v>
      </x:c>
      <x:c r="B11" s="124" t="n">
        <x:f>Quarterly!I12</x:f>
        <x:v>10.27020621463913</x:v>
      </x:c>
      <x:c r="C11" s="124" t="n">
        <x:f>INTERCEPT($B$5:$B$64,$E$5:$E$64)+SLOPE($B$5:$B$64,$E$5:$E$64)*E11</x:f>
        <x:v>10.123268862825311</x:v>
      </x:c>
      <x:c r="D11" s="124" t="n">
        <x:f>IF(E11&lt;=31,INTERCEPT($B$5:$B$36,$E$5:$E$36)+SLOPE($B$5:$B$36,$E$5:$E$36)*E11,INTERCEPT($B$37:$B$64,$E$37:$E$64)+SLOPE($B$37:$B$64,$E$37:$E$64)*E11)</x:f>
        <x:v>9.880311031816305</x:v>
      </x:c>
      <x:c r="E11" s="130" t="n">
        <x:f>6</x:f>
        <x:v>6</x:v>
      </x:c>
      <x:c r="F11" s="121" t="str">
        <x:f>Quarterly!A12</x:f>
        <x:v>2012 Q3</x:v>
      </x:c>
      <x:c r="G11" s="127" t="n">
        <x:f>Quarterly!J12</x:f>
        <x:v>5442.607134395425</x:v>
      </x:c>
      <x:c r="H11" s="127" t="n">
        <x:f>INTERCEPT($G$5:$G$64,$J$5:$J$64)+SLOPE($G$5:$G$64,$J$5:$J$64)*J11</x:f>
        <x:v>5353.430860223395</x:v>
      </x:c>
      <x:c r="I11" s="127" t="n">
        <x:f>IF(J11&lt;=31,INTERCEPT($G$5:$G$36,$J$5:$J$36)+SLOPE($G$5:$G$36,$J$5:$J$36)*J11,INTERCEPT($G$37:$G$64,$J$37:$J$64)+SLOPE($G$37:$G$64,$J$37:$J$64)*J11)</x:f>
        <x:v>5492.822272838434</x:v>
      </x:c>
      <x:c r="J11" s="130" t="n">
        <x:f>6</x:f>
        <x:v>6</x:v>
      </x:c>
      <x:c r="K11" s="1"/>
      <x:c r="L11" s="116" t="str">
        <x:v>Metric</x:v>
      </x:c>
      <x:c r="M11" s="116" t="str">
        <x:v>2011 Q1</x:v>
      </x:c>
      <x:c r="N11" s="116" t="str">
        <x:v>2025 Q4</x:v>
      </x:c>
      <x:c r="O11" s="116" t="str">
        <x:v>Change</x:v>
      </x:c>
      <x:c r="P11" s="1"/>
    </x:row>
    <x:row r="12" ht="19" customHeight="1">
      <x:c r="A12" s="121" t="str">
        <x:f>Quarterly!A13</x:f>
        <x:v>2012 Q4</x:v>
      </x:c>
      <x:c r="B12" s="124" t="n">
        <x:f>Quarterly!I13</x:f>
        <x:v>9.971085934699403</x:v>
      </x:c>
      <x:c r="C12" s="124" t="n">
        <x:f>INTERCEPT($B$5:$B$64,$E$5:$E$64)+SLOPE($B$5:$B$64,$E$5:$E$64)*E12</x:f>
        <x:v>10.071820749867387</x:v>
      </x:c>
      <x:c r="D12" s="124" t="n">
        <x:f>IF(E12&lt;=31,INTERCEPT($B$5:$B$36,$E$5:$E$36)+SLOPE($B$5:$B$36,$E$5:$E$36)*E12,INTERCEPT($B$37:$B$64,$E$37:$E$64)+SLOPE($B$37:$B$64,$E$37:$E$64)*E12)</x:f>
        <x:v>9.874484051189189</x:v>
      </x:c>
      <x:c r="E12" s="130" t="n">
        <x:f>7</x:f>
        <x:v>7</x:v>
      </x:c>
      <x:c r="F12" s="121" t="str">
        <x:f>Quarterly!A13</x:f>
        <x:v>2012 Q4</x:v>
      </x:c>
      <x:c r="G12" s="127" t="n">
        <x:f>Quarterly!J13</x:f>
        <x:v>5405.0527333056825</x:v>
      </x:c>
      <x:c r="H12" s="127" t="n">
        <x:f>INTERCEPT($G$5:$G$64,$J$5:$J$64)+SLOPE($G$5:$G$64,$J$5:$J$64)*J12</x:f>
        <x:v>5442.676791583874</x:v>
      </x:c>
      <x:c r="I12" s="127" t="n">
        <x:f>IF(J12&lt;=31,INTERCEPT($G$5:$G$36,$J$5:$J$36)+SLOPE($G$5:$G$36,$J$5:$J$36)*J12,INTERCEPT($G$37:$G$64,$J$37:$J$64)+SLOPE($G$37:$G$64,$J$37:$J$64)*J12)</x:f>
        <x:v>5565.24624718066</x:v>
      </x:c>
      <x:c r="J12" s="130" t="n">
        <x:f>7</x:f>
        <x:v>7</x:v>
      </x:c>
      <x:c r="K12" s="1"/>
      <x:c r="L12" s="133" t="str">
        <x:v>OCC / Avg Assets (bps)</x:v>
      </x:c>
      <x:c r="M12" s="74" t="n">
        <x:f>Quarterly!I6</x:f>
        <x:v>10.20287255219516</x:v>
      </x:c>
      <x:c r="N12" s="74" t="n">
        <x:f>Quarterly!I65</x:f>
        <x:v>8.027895155574083</x:v>
      </x:c>
      <x:c r="O12" s="136" t="n">
        <x:f>N12/M12-1</x:f>
        <x:v>-0.21317304371827406</x:v>
      </x:c>
      <x:c r="P12" s="1"/>
    </x:row>
    <x:row r="13" ht="19" customHeight="1">
      <x:c r="A13" s="121" t="str">
        <x:f>Quarterly!A14</x:f>
        <x:v>2013 Q1</x:v>
      </x:c>
      <x:c r="B13" s="124" t="n">
        <x:f>Quarterly!I14</x:f>
        <x:v>9.238787226539657</x:v>
      </x:c>
      <x:c r="C13" s="124" t="n">
        <x:f>INTERCEPT($B$5:$B$64,$E$5:$E$64)+SLOPE($B$5:$B$64,$E$5:$E$64)*E13</x:f>
        <x:v>10.020372636909464</x:v>
      </x:c>
      <x:c r="D13" s="124" t="n">
        <x:f>IF(E13&lt;=31,INTERCEPT($B$5:$B$36,$E$5:$E$36)+SLOPE($B$5:$B$36,$E$5:$E$36)*E13,INTERCEPT($B$37:$B$64,$E$37:$E$64)+SLOPE($B$37:$B$64,$E$37:$E$64)*E13)</x:f>
        <x:v>9.86865707056207</x:v>
      </x:c>
      <x:c r="E13" s="130" t="n">
        <x:f>8</x:f>
        <x:v>8</x:v>
      </x:c>
      <x:c r="F13" s="121" t="str">
        <x:f>Quarterly!A14</x:f>
        <x:v>2013 Q1</x:v>
      </x:c>
      <x:c r="G13" s="127" t="n">
        <x:f>Quarterly!J14</x:f>
        <x:v>5194.96105760963</x:v>
      </x:c>
      <x:c r="H13" s="127" t="n">
        <x:f>INTERCEPT($G$5:$G$64,$J$5:$J$64)+SLOPE($G$5:$G$64,$J$5:$J$64)*J13</x:f>
        <x:v>5531.922722944353</x:v>
      </x:c>
      <x:c r="I13" s="127" t="n">
        <x:f>IF(J13&lt;=31,INTERCEPT($G$5:$G$36,$J$5:$J$36)+SLOPE($G$5:$G$36,$J$5:$J$36)*J13,INTERCEPT($G$37:$G$64,$J$37:$J$64)+SLOPE($G$37:$G$64,$J$37:$J$64)*J13)</x:f>
        <x:v>5637.670221522885</x:v>
      </x:c>
      <x:c r="J13" s="130" t="n">
        <x:f>8</x:f>
        <x:v>8</x:v>
      </x:c>
      <x:c r="K13" s="1"/>
      <x:c r="L13" s="134" t="str">
        <x:v>OCC / Headcount</x:v>
      </x:c>
      <x:c r="M13" s="81" t="n">
        <x:f>Quarterly!J6</x:f>
        <x:v>5564.057392763894</x:v>
      </x:c>
      <x:c r="N13" s="81" t="n">
        <x:f>Quarterly!J65</x:f>
        <x:v>10222.15044646548</x:v>
      </x:c>
      <x:c r="O13" s="137" t="n">
        <x:f>N13/M13-1</x:f>
        <x:v>0.8371755941553509</x:v>
      </x:c>
      <x:c r="P13" s="1"/>
    </x:row>
    <x:row r="14" ht="19" customHeight="1">
      <x:c r="A14" s="121" t="str">
        <x:f>Quarterly!A15</x:f>
        <x:v>2013 Q2</x:v>
      </x:c>
      <x:c r="B14" s="124" t="n">
        <x:f>Quarterly!I15</x:f>
        <x:v>9.956732209641025</x:v>
      </x:c>
      <x:c r="C14" s="124" t="n">
        <x:f>INTERCEPT($B$5:$B$64,$E$5:$E$64)+SLOPE($B$5:$B$64,$E$5:$E$64)*E14</x:f>
        <x:v>9.96892452395154</x:v>
      </x:c>
      <x:c r="D14" s="124" t="n">
        <x:f>IF(E14&lt;=31,INTERCEPT($B$5:$B$36,$E$5:$E$36)+SLOPE($B$5:$B$36,$E$5:$E$36)*E14,INTERCEPT($B$37:$B$64,$E$37:$E$64)+SLOPE($B$37:$B$64,$E$37:$E$64)*E14)</x:f>
        <x:v>9.862830089934953</x:v>
      </x:c>
      <x:c r="E14" s="130" t="n">
        <x:f>9</x:f>
        <x:v>9</x:v>
      </x:c>
      <x:c r="F14" s="121" t="str">
        <x:f>Quarterly!A15</x:f>
        <x:v>2013 Q2</x:v>
      </x:c>
      <x:c r="G14" s="127" t="n">
        <x:f>Quarterly!J15</x:f>
        <x:v>5727.931222318715</x:v>
      </x:c>
      <x:c r="H14" s="127" t="n">
        <x:f>INTERCEPT($G$5:$G$64,$J$5:$J$64)+SLOPE($G$5:$G$64,$J$5:$J$64)*J14</x:f>
        <x:v>5621.168654304832</x:v>
      </x:c>
      <x:c r="I14" s="127" t="n">
        <x:f>IF(J14&lt;=31,INTERCEPT($G$5:$G$36,$J$5:$J$36)+SLOPE($G$5:$G$36,$J$5:$J$36)*J14,INTERCEPT($G$37:$G$64,$J$37:$J$64)+SLOPE($G$37:$G$64,$J$37:$J$64)*J14)</x:f>
        <x:v>5710.094195865111</x:v>
      </x:c>
      <x:c r="J14" s="130" t="n">
        <x:f>9</x:f>
        <x:v>9</x:v>
      </x:c>
      <x:c r="K14" s="1"/>
      <x:c r="L14" s="135" t="str">
        <x:v>Avg Assets / Headcount</x:v>
      </x:c>
      <x:c r="M14" s="87" t="n">
        <x:f>Quarterly!K6</x:f>
        <x:v>5453422.42030337</x:v>
      </x:c>
      <x:c r="N14" s="87" t="n">
        <x:f>Quarterly!K65</x:f>
        <x:v>12733288.425382389</x:v>
      </x:c>
      <x:c r="O14" s="138" t="n">
        <x:f>N14/M14-1</x:f>
        <x:v>1.3349169464620432</x:v>
      </x:c>
      <x:c r="P14" s="1"/>
    </x:row>
    <x:row r="15" ht="19" customHeight="1">
      <x:c r="A15" s="121" t="str">
        <x:f>Quarterly!A16</x:f>
        <x:v>2013 Q3</x:v>
      </x:c>
      <x:c r="B15" s="124" t="n">
        <x:f>Quarterly!I16</x:f>
        <x:v>10.12262873393743</x:v>
      </x:c>
      <x:c r="C15" s="124" t="n">
        <x:f>INTERCEPT($B$5:$B$64,$E$5:$E$64)+SLOPE($B$5:$B$64,$E$5:$E$64)*E15</x:f>
        <x:v>9.917476410993615</x:v>
      </x:c>
      <x:c r="D15" s="124" t="n">
        <x:f>IF(E15&lt;=31,INTERCEPT($B$5:$B$36,$E$5:$E$36)+SLOPE($B$5:$B$36,$E$5:$E$36)*E15,INTERCEPT($B$37:$B$64,$E$37:$E$64)+SLOPE($B$37:$B$64,$E$37:$E$64)*E15)</x:f>
        <x:v>9.857003109307835</x:v>
      </x:c>
      <x:c r="E15" s="130" t="n">
        <x:f>10</x:f>
        <x:v>10</x:v>
      </x:c>
      <x:c r="F15" s="121" t="str">
        <x:f>Quarterly!A16</x:f>
        <x:v>2013 Q3</x:v>
      </x:c>
      <x:c r="G15" s="127" t="n">
        <x:f>Quarterly!J16</x:f>
        <x:v>5791.971492014876</x:v>
      </x:c>
      <x:c r="H15" s="127" t="n">
        <x:f>INTERCEPT($G$5:$G$64,$J$5:$J$64)+SLOPE($G$5:$G$64,$J$5:$J$64)*J15</x:f>
        <x:v>5710.414585665311</x:v>
      </x:c>
      <x:c r="I15" s="127" t="n">
        <x:f>IF(J15&lt;=31,INTERCEPT($G$5:$G$36,$J$5:$J$36)+SLOPE($G$5:$G$36,$J$5:$J$36)*J15,INTERCEPT($G$37:$G$64,$J$37:$J$64)+SLOPE($G$37:$G$64,$J$37:$J$64)*J15)</x:f>
        <x:v>5782.518170207336</x:v>
      </x:c>
      <x:c r="J15" s="130" t="n">
        <x:f>10</x:f>
        <x:v>10</x:v>
      </x:c>
      <x:c r="K15" s="1"/>
      <x:c r="L15" s="1"/>
      <x:c r="M15" s="1"/>
      <x:c r="N15" s="1"/>
      <x:c r="O15" s="1"/>
      <x:c r="P15" s="1"/>
    </x:row>
    <x:row r="16" ht="19" customHeight="1">
      <x:c r="A16" s="121" t="str">
        <x:f>Quarterly!A17</x:f>
        <x:v>2013 Q4</x:v>
      </x:c>
      <x:c r="B16" s="124" t="n">
        <x:f>Quarterly!I17</x:f>
        <x:v>9.99858199201144</x:v>
      </x:c>
      <x:c r="C16" s="124" t="n">
        <x:f>INTERCEPT($B$5:$B$64,$E$5:$E$64)+SLOPE($B$5:$B$64,$E$5:$E$64)*E16</x:f>
        <x:v>9.866028298035692</x:v>
      </x:c>
      <x:c r="D16" s="124" t="n">
        <x:f>IF(E16&lt;=31,INTERCEPT($B$5:$B$36,$E$5:$E$36)+SLOPE($B$5:$B$36,$E$5:$E$36)*E16,INTERCEPT($B$37:$B$64,$E$37:$E$64)+SLOPE($B$37:$B$64,$E$37:$E$64)*E16)</x:f>
        <x:v>9.851176128680716</x:v>
      </x:c>
      <x:c r="E16" s="130" t="n">
        <x:f>11</x:f>
        <x:v>11</x:v>
      </x:c>
      <x:c r="F16" s="121" t="str">
        <x:f>Quarterly!A17</x:f>
        <x:v>2013 Q4</x:v>
      </x:c>
      <x:c r="G16" s="127" t="n">
        <x:f>Quarterly!J17</x:f>
        <x:v>5783.240287912088</x:v>
      </x:c>
      <x:c r="H16" s="127" t="n">
        <x:f>INTERCEPT($G$5:$G$64,$J$5:$J$64)+SLOPE($G$5:$G$64,$J$5:$J$64)*J16</x:f>
        <x:v>5799.66051702579</x:v>
      </x:c>
      <x:c r="I16" s="127" t="n">
        <x:f>IF(J16&lt;=31,INTERCEPT($G$5:$G$36,$J$5:$J$36)+SLOPE($G$5:$G$36,$J$5:$J$36)*J16,INTERCEPT($G$37:$G$64,$J$37:$J$64)+SLOPE($G$37:$G$64,$J$37:$J$64)*J16)</x:f>
        <x:v>5854.942144549562</x:v>
      </x:c>
      <x:c r="J16" s="130" t="n">
        <x:f>11</x:f>
        <x:v>11</x:v>
      </x:c>
      <x:c r="K16" s="1"/>
      <x:c r="L16" s="1"/>
      <x:c r="M16" s="1"/>
      <x:c r="N16" s="1"/>
      <x:c r="O16" s="1"/>
      <x:c r="P16" s="1"/>
    </x:row>
    <x:row r="17" ht="19" customHeight="1">
      <x:c r="A17" s="121" t="str">
        <x:f>Quarterly!A18</x:f>
        <x:v>2014 Q1</x:v>
      </x:c>
      <x:c r="B17" s="124" t="n">
        <x:f>Quarterly!I18</x:f>
        <x:v>9.898099135325516</x:v>
      </x:c>
      <x:c r="C17" s="124" t="n">
        <x:f>INTERCEPT($B$5:$B$64,$E$5:$E$64)+SLOPE($B$5:$B$64,$E$5:$E$64)*E17</x:f>
        <x:v>9.814580185077768</x:v>
      </x:c>
      <x:c r="D17" s="124" t="n">
        <x:f>IF(E17&lt;=31,INTERCEPT($B$5:$B$36,$E$5:$E$36)+SLOPE($B$5:$B$36,$E$5:$E$36)*E17,INTERCEPT($B$37:$B$64,$E$37:$E$64)+SLOPE($B$37:$B$64,$E$37:$E$64)*E17)</x:f>
        <x:v>9.8453491480536</x:v>
      </x:c>
      <x:c r="E17" s="130" t="n">
        <x:f>12</x:f>
        <x:v>12</x:v>
      </x:c>
      <x:c r="F17" s="121" t="str">
        <x:f>Quarterly!A18</x:f>
        <x:v>2014 Q1</x:v>
      </x:c>
      <x:c r="G17" s="127" t="n">
        <x:f>Quarterly!J18</x:f>
        <x:v>5797.85315976858</x:v>
      </x:c>
      <x:c r="H17" s="127" t="n">
        <x:f>INTERCEPT($G$5:$G$64,$J$5:$J$64)+SLOPE($G$5:$G$64,$J$5:$J$64)*J17</x:f>
        <x:v>5888.906448386269</x:v>
      </x:c>
      <x:c r="I17" s="127" t="n">
        <x:f>IF(J17&lt;=31,INTERCEPT($G$5:$G$36,$J$5:$J$36)+SLOPE($G$5:$G$36,$J$5:$J$36)*J17,INTERCEPT($G$37:$G$64,$J$37:$J$64)+SLOPE($G$37:$G$64,$J$37:$J$64)*J17)</x:f>
        <x:v>5927.366118891787</x:v>
      </x:c>
      <x:c r="J17" s="130" t="n">
        <x:f>12</x:f>
        <x:v>12</x:v>
      </x:c>
      <x:c r="K17" s="1"/>
      <x:c r="L17" s="1"/>
      <x:c r="M17" s="1"/>
      <x:c r="N17" s="1"/>
      <x:c r="O17" s="1"/>
      <x:c r="P17" s="1"/>
    </x:row>
    <x:row r="18" ht="19" customHeight="1">
      <x:c r="A18" s="121" t="str">
        <x:f>Quarterly!A19</x:f>
        <x:v>2014 Q2</x:v>
      </x:c>
      <x:c r="B18" s="124" t="n">
        <x:f>Quarterly!I19</x:f>
        <x:v>9.97094914490287</x:v>
      </x:c>
      <x:c r="C18" s="124" t="n">
        <x:f>INTERCEPT($B$5:$B$64,$E$5:$E$64)+SLOPE($B$5:$B$64,$E$5:$E$64)*E18</x:f>
        <x:v>9.763132072119843</x:v>
      </x:c>
      <x:c r="D18" s="124" t="n">
        <x:f>IF(E18&lt;=31,INTERCEPT($B$5:$B$36,$E$5:$E$36)+SLOPE($B$5:$B$36,$E$5:$E$36)*E18,INTERCEPT($B$37:$B$64,$E$37:$E$64)+SLOPE($B$37:$B$64,$E$37:$E$64)*E18)</x:f>
        <x:v>9.839522167426482</x:v>
      </x:c>
      <x:c r="E18" s="130" t="n">
        <x:f>13</x:f>
        <x:v>13</x:v>
      </x:c>
      <x:c r="F18" s="121" t="str">
        <x:f>Quarterly!A19</x:f>
        <x:v>2014 Q2</x:v>
      </x:c>
      <x:c r="G18" s="127" t="n">
        <x:f>Quarterly!J19</x:f>
        <x:v>5877.34737322064</x:v>
      </x:c>
      <x:c r="H18" s="127" t="n">
        <x:f>INTERCEPT($G$5:$G$64,$J$5:$J$64)+SLOPE($G$5:$G$64,$J$5:$J$64)*J18</x:f>
        <x:v>5978.152379746748</x:v>
      </x:c>
      <x:c r="I18" s="127" t="n">
        <x:f>IF(J18&lt;=31,INTERCEPT($G$5:$G$36,$J$5:$J$36)+SLOPE($G$5:$G$36,$J$5:$J$36)*J18,INTERCEPT($G$37:$G$64,$J$37:$J$64)+SLOPE($G$37:$G$64,$J$37:$J$64)*J18)</x:f>
        <x:v>5999.790093234013</x:v>
      </x:c>
      <x:c r="J18" s="130" t="n">
        <x:f>13</x:f>
        <x:v>13</x:v>
      </x:c>
      <x:c r="K18" s="1"/>
      <x:c r="L18" s="1"/>
      <x:c r="M18" s="1"/>
      <x:c r="N18" s="1"/>
      <x:c r="O18" s="1"/>
      <x:c r="P18" s="1"/>
    </x:row>
    <x:row r="19" ht="19" customHeight="1">
      <x:c r="A19" s="121" t="str">
        <x:f>Quarterly!A20</x:f>
        <x:v>2014 Q3</x:v>
      </x:c>
      <x:c r="B19" s="124" t="n">
        <x:f>Quarterly!I20</x:f>
        <x:v>10.149126460219682</x:v>
      </x:c>
      <x:c r="C19" s="124" t="n">
        <x:f>INTERCEPT($B$5:$B$64,$E$5:$E$64)+SLOPE($B$5:$B$64,$E$5:$E$64)*E19</x:f>
        <x:v>9.71168395916192</x:v>
      </x:c>
      <x:c r="D19" s="124" t="n">
        <x:f>IF(E19&lt;=31,INTERCEPT($B$5:$B$36,$E$5:$E$36)+SLOPE($B$5:$B$36,$E$5:$E$36)*E19,INTERCEPT($B$37:$B$64,$E$37:$E$64)+SLOPE($B$37:$B$64,$E$37:$E$64)*E19)</x:f>
        <x:v>9.833695186799364</x:v>
      </x:c>
      <x:c r="E19" s="130" t="n">
        <x:f>14</x:f>
        <x:v>14</x:v>
      </x:c>
      <x:c r="F19" s="121" t="str">
        <x:f>Quarterly!A20</x:f>
        <x:v>2014 Q3</x:v>
      </x:c>
      <x:c r="G19" s="127" t="n">
        <x:f>Quarterly!J20</x:f>
        <x:v>6097.213021940737</x:v>
      </x:c>
      <x:c r="H19" s="127" t="n">
        <x:f>INTERCEPT($G$5:$G$64,$J$5:$J$64)+SLOPE($G$5:$G$64,$J$5:$J$64)*J19</x:f>
        <x:v>6067.398311107227</x:v>
      </x:c>
      <x:c r="I19" s="127" t="n">
        <x:f>IF(J19&lt;=31,INTERCEPT($G$5:$G$36,$J$5:$J$36)+SLOPE($G$5:$G$36,$J$5:$J$36)*J19,INTERCEPT($G$37:$G$64,$J$37:$J$64)+SLOPE($G$37:$G$64,$J$37:$J$64)*J19)</x:f>
        <x:v>6072.214067576238</x:v>
      </x:c>
      <x:c r="J19" s="130" t="n">
        <x:f>14</x:f>
        <x:v>14</x:v>
      </x:c>
      <x:c r="K19" s="1"/>
      <x:c r="L19" s="1"/>
      <x:c r="M19" s="1"/>
      <x:c r="N19" s="1"/>
      <x:c r="O19" s="1"/>
      <x:c r="P19" s="1"/>
    </x:row>
    <x:row r="20" ht="19" customHeight="1">
      <x:c r="A20" s="121" t="str">
        <x:f>Quarterly!A21</x:f>
        <x:v>2014 Q4</x:v>
      </x:c>
      <x:c r="B20" s="124" t="n">
        <x:f>Quarterly!I21</x:f>
        <x:v>9.840512917978755</x:v>
      </x:c>
      <x:c r="C20" s="124" t="n">
        <x:f>INTERCEPT($B$5:$B$64,$E$5:$E$64)+SLOPE($B$5:$B$64,$E$5:$E$64)*E20</x:f>
        <x:v>9.660235846203996</x:v>
      </x:c>
      <x:c r="D20" s="124" t="n">
        <x:f>IF(E20&lt;=31,INTERCEPT($B$5:$B$36,$E$5:$E$36)+SLOPE($B$5:$B$36,$E$5:$E$36)*E20,INTERCEPT($B$37:$B$64,$E$37:$E$64)+SLOPE($B$37:$B$64,$E$37:$E$64)*E20)</x:f>
        <x:v>9.827868206172246</x:v>
      </x:c>
      <x:c r="E20" s="130" t="n">
        <x:f>15</x:f>
        <x:v>15</x:v>
      </x:c>
      <x:c r="F20" s="121" t="str">
        <x:f>Quarterly!A21</x:f>
        <x:v>2014 Q4</x:v>
      </x:c>
      <x:c r="G20" s="127" t="n">
        <x:f>Quarterly!J21</x:f>
        <x:v>6031.57302378774</x:v>
      </x:c>
      <x:c r="H20" s="127" t="n">
        <x:f>INTERCEPT($G$5:$G$64,$J$5:$J$64)+SLOPE($G$5:$G$64,$J$5:$J$64)*J20</x:f>
        <x:v>6156.644242467706</x:v>
      </x:c>
      <x:c r="I20" s="127" t="n">
        <x:f>IF(J20&lt;=31,INTERCEPT($G$5:$G$36,$J$5:$J$36)+SLOPE($G$5:$G$36,$J$5:$J$36)*J20,INTERCEPT($G$37:$G$64,$J$37:$J$64)+SLOPE($G$37:$G$64,$J$37:$J$64)*J20)</x:f>
        <x:v>6144.638041918463</x:v>
      </x:c>
      <x:c r="J20" s="130" t="n">
        <x:f>15</x:f>
        <x:v>15</x:v>
      </x:c>
      <x:c r="K20" s="1"/>
      <x:c r="L20" s="1"/>
      <x:c r="M20" s="1"/>
      <x:c r="N20" s="1"/>
      <x:c r="O20" s="1"/>
      <x:c r="P20" s="1"/>
    </x:row>
    <x:row r="21" ht="19" customHeight="1">
      <x:c r="A21" s="121" t="str">
        <x:f>Quarterly!A22</x:f>
        <x:v>2015 Q1</x:v>
      </x:c>
      <x:c r="B21" s="124" t="n">
        <x:f>Quarterly!I22</x:f>
        <x:v>9.543591128504543</x:v>
      </x:c>
      <x:c r="C21" s="124" t="n">
        <x:f>INTERCEPT($B$5:$B$64,$E$5:$E$64)+SLOPE($B$5:$B$64,$E$5:$E$64)*E21</x:f>
        <x:v>9.608787733246071</x:v>
      </x:c>
      <x:c r="D21" s="124" t="n">
        <x:f>IF(E21&lt;=31,INTERCEPT($B$5:$B$36,$E$5:$E$36)+SLOPE($B$5:$B$36,$E$5:$E$36)*E21,INTERCEPT($B$37:$B$64,$E$37:$E$64)+SLOPE($B$37:$B$64,$E$37:$E$64)*E21)</x:f>
        <x:v>9.82204122554513</x:v>
      </x:c>
      <x:c r="E21" s="130" t="n">
        <x:f>16</x:f>
        <x:v>16</x:v>
      </x:c>
      <x:c r="F21" s="121" t="str">
        <x:f>Quarterly!A22</x:f>
        <x:v>2015 Q1</x:v>
      </x:c>
      <x:c r="G21" s="127" t="n">
        <x:f>Quarterly!J22</x:f>
        <x:v>6042.987206187947</x:v>
      </x:c>
      <x:c r="H21" s="127" t="n">
        <x:f>INTERCEPT($G$5:$G$64,$J$5:$J$64)+SLOPE($G$5:$G$64,$J$5:$J$64)*J21</x:f>
        <x:v>6245.890173828186</x:v>
      </x:c>
      <x:c r="I21" s="127" t="n">
        <x:f>IF(J21&lt;=31,INTERCEPT($G$5:$G$36,$J$5:$J$36)+SLOPE($G$5:$G$36,$J$5:$J$36)*J21,INTERCEPT($G$37:$G$64,$J$37:$J$64)+SLOPE($G$37:$G$64,$J$37:$J$64)*J21)</x:f>
        <x:v>6217.062016260688</x:v>
      </x:c>
      <x:c r="J21" s="130" t="n">
        <x:f>16</x:f>
        <x:v>16</x:v>
      </x:c>
      <x:c r="K21" s="1"/>
      <x:c r="L21" s="1"/>
      <x:c r="M21" s="1"/>
      <x:c r="N21" s="1"/>
      <x:c r="O21" s="1"/>
      <x:c r="P21" s="1"/>
    </x:row>
    <x:row r="22" ht="19" customHeight="1">
      <x:c r="A22" s="121" t="str">
        <x:f>Quarterly!A23</x:f>
        <x:v>2015 Q2</x:v>
      </x:c>
      <x:c r="B22" s="124" t="n">
        <x:f>Quarterly!I23</x:f>
        <x:v>9.4607980527628</x:v>
      </x:c>
      <x:c r="C22" s="124" t="n">
        <x:f>INTERCEPT($B$5:$B$64,$E$5:$E$64)+SLOPE($B$5:$B$64,$E$5:$E$64)*E22</x:f>
        <x:v>9.557339620288149</x:v>
      </x:c>
      <x:c r="D22" s="124" t="n">
        <x:f>IF(E22&lt;=31,INTERCEPT($B$5:$B$36,$E$5:$E$36)+SLOPE($B$5:$B$36,$E$5:$E$36)*E22,INTERCEPT($B$37:$B$64,$E$37:$E$64)+SLOPE($B$37:$B$64,$E$37:$E$64)*E22)</x:f>
        <x:v>9.816214244918012</x:v>
      </x:c>
      <x:c r="E22" s="130" t="n">
        <x:f>17</x:f>
        <x:v>17</x:v>
      </x:c>
      <x:c r="F22" s="121" t="str">
        <x:f>Quarterly!A23</x:f>
        <x:v>2015 Q2</x:v>
      </x:c>
      <x:c r="G22" s="127" t="n">
        <x:f>Quarterly!J23</x:f>
        <x:v>6167.983304671159</x:v>
      </x:c>
      <x:c r="H22" s="127" t="n">
        <x:f>INTERCEPT($G$5:$G$64,$J$5:$J$64)+SLOPE($G$5:$G$64,$J$5:$J$64)*J22</x:f>
        <x:v>6335.136105188664</x:v>
      </x:c>
      <x:c r="I22" s="127" t="n">
        <x:f>IF(J22&lt;=31,INTERCEPT($G$5:$G$36,$J$5:$J$36)+SLOPE($G$5:$G$36,$J$5:$J$36)*J22,INTERCEPT($G$37:$G$64,$J$37:$J$64)+SLOPE($G$37:$G$64,$J$37:$J$64)*J22)</x:f>
        <x:v>6289.485990602914</x:v>
      </x:c>
      <x:c r="J22" s="130" t="n">
        <x:f>17</x:f>
        <x:v>17</x:v>
      </x:c>
      <x:c r="K22" s="1"/>
      <x:c r="L22" s="1"/>
      <x:c r="M22" s="1"/>
      <x:c r="N22" s="1"/>
      <x:c r="O22" s="1"/>
      <x:c r="P22" s="1"/>
    </x:row>
    <x:row r="23" ht="19" customHeight="1">
      <x:c r="A23" s="121" t="str">
        <x:f>Quarterly!A24</x:f>
        <x:v>2015 Q3</x:v>
      </x:c>
      <x:c r="B23" s="124" t="n">
        <x:f>Quarterly!I24</x:f>
        <x:v>9.504717237421572</x:v>
      </x:c>
      <x:c r="C23" s="124" t="n">
        <x:f>INTERCEPT($B$5:$B$64,$E$5:$E$64)+SLOPE($B$5:$B$64,$E$5:$E$64)*E23</x:f>
        <x:v>9.505891507330224</x:v>
      </x:c>
      <x:c r="D23" s="124" t="n">
        <x:f>IF(E23&lt;=31,INTERCEPT($B$5:$B$36,$E$5:$E$36)+SLOPE($B$5:$B$36,$E$5:$E$36)*E23,INTERCEPT($B$37:$B$64,$E$37:$E$64)+SLOPE($B$37:$B$64,$E$37:$E$64)*E23)</x:f>
        <x:v>9.810387264290894</x:v>
      </x:c>
      <x:c r="E23" s="130" t="n">
        <x:f>18</x:f>
        <x:v>18</x:v>
      </x:c>
      <x:c r="F23" s="121" t="str">
        <x:f>Quarterly!A24</x:f>
        <x:v>2015 Q3</x:v>
      </x:c>
      <x:c r="G23" s="127" t="n">
        <x:f>Quarterly!J24</x:f>
        <x:v>6293.614408878505</x:v>
      </x:c>
      <x:c r="H23" s="127" t="n">
        <x:f>INTERCEPT($G$5:$G$64,$J$5:$J$64)+SLOPE($G$5:$G$64,$J$5:$J$64)*J23</x:f>
        <x:v>6424.382036549143</x:v>
      </x:c>
      <x:c r="I23" s="127" t="n">
        <x:f>IF(J23&lt;=31,INTERCEPT($G$5:$G$36,$J$5:$J$36)+SLOPE($G$5:$G$36,$J$5:$J$36)*J23,INTERCEPT($G$37:$G$64,$J$37:$J$64)+SLOPE($G$37:$G$64,$J$37:$J$64)*J23)</x:f>
        <x:v>6361.90996494514</x:v>
      </x:c>
      <x:c r="J23" s="130" t="n">
        <x:f>18</x:f>
        <x:v>18</x:v>
      </x:c>
      <x:c r="K23" s="1"/>
      <x:c r="L23" s="1"/>
      <x:c r="M23" s="1"/>
      <x:c r="N23" s="1"/>
      <x:c r="O23" s="1"/>
      <x:c r="P23" s="1"/>
    </x:row>
    <x:row r="24" ht="19" customHeight="1">
      <x:c r="A24" s="121" t="str">
        <x:f>Quarterly!A25</x:f>
        <x:v>2015 Q4</x:v>
      </x:c>
      <x:c r="B24" s="124" t="n">
        <x:f>Quarterly!I25</x:f>
        <x:v>9.702634183580678</x:v>
      </x:c>
      <x:c r="C24" s="124" t="n">
        <x:f>INTERCEPT($B$5:$B$64,$E$5:$E$64)+SLOPE($B$5:$B$64,$E$5:$E$64)*E24</x:f>
        <x:v>9.4544433943723</x:v>
      </x:c>
      <x:c r="D24" s="124" t="n">
        <x:f>IF(E24&lt;=31,INTERCEPT($B$5:$B$36,$E$5:$E$36)+SLOPE($B$5:$B$36,$E$5:$E$36)*E24,INTERCEPT($B$37:$B$64,$E$37:$E$64)+SLOPE($B$37:$B$64,$E$37:$E$64)*E24)</x:f>
        <x:v>9.804560283663776</x:v>
      </x:c>
      <x:c r="E24" s="130" t="n">
        <x:f>19</x:f>
        <x:v>19</x:v>
      </x:c>
      <x:c r="F24" s="121" t="str">
        <x:f>Quarterly!A25</x:f>
        <x:v>2015 Q4</x:v>
      </x:c>
      <x:c r="G24" s="127" t="n">
        <x:f>Quarterly!J25</x:f>
        <x:v>6470.3705187252845</x:v>
      </x:c>
      <x:c r="H24" s="127" t="n">
        <x:f>INTERCEPT($G$5:$G$64,$J$5:$J$64)+SLOPE($G$5:$G$64,$J$5:$J$64)*J24</x:f>
        <x:v>6513.627967909622</x:v>
      </x:c>
      <x:c r="I24" s="127" t="n">
        <x:f>IF(J24&lt;=31,INTERCEPT($G$5:$G$36,$J$5:$J$36)+SLOPE($G$5:$G$36,$J$5:$J$36)*J24,INTERCEPT($G$37:$G$64,$J$37:$J$64)+SLOPE($G$37:$G$64,$J$37:$J$64)*J24)</x:f>
        <x:v>6434.333939287365</x:v>
      </x:c>
      <x:c r="J24" s="130" t="n">
        <x:f>19</x:f>
        <x:v>19</x:v>
      </x:c>
      <x:c r="K24" s="1"/>
      <x:c r="L24" s="1"/>
      <x:c r="M24" s="1"/>
      <x:c r="N24" s="1"/>
      <x:c r="O24" s="1"/>
      <x:c r="P24" s="1"/>
    </x:row>
    <x:row r="25" ht="19" customHeight="1">
      <x:c r="A25" s="121" t="str">
        <x:f>Quarterly!A26</x:f>
        <x:v>2016 Q1</x:v>
      </x:c>
      <x:c r="B25" s="124" t="n">
        <x:f>Quarterly!I26</x:f>
        <x:v>9.15121135874349</x:v>
      </x:c>
      <x:c r="C25" s="124" t="n">
        <x:f>INTERCEPT($B$5:$B$64,$E$5:$E$64)+SLOPE($B$5:$B$64,$E$5:$E$64)*E25</x:f>
        <x:v>9.402995281414377</x:v>
      </x:c>
      <x:c r="D25" s="124" t="n">
        <x:f>IF(E25&lt;=31,INTERCEPT($B$5:$B$36,$E$5:$E$36)+SLOPE($B$5:$B$36,$E$5:$E$36)*E25,INTERCEPT($B$37:$B$64,$E$37:$E$64)+SLOPE($B$37:$B$64,$E$37:$E$64)*E25)</x:f>
        <x:v>9.798733303036657</x:v>
      </x:c>
      <x:c r="E25" s="130" t="n">
        <x:f>20</x:f>
        <x:v>20</x:v>
      </x:c>
      <x:c r="F25" s="121" t="str">
        <x:f>Quarterly!A26</x:f>
        <x:v>2016 Q1</x:v>
      </x:c>
      <x:c r="G25" s="127" t="n">
        <x:f>Quarterly!J26</x:f>
        <x:v>6296.294920634921</x:v>
      </x:c>
      <x:c r="H25" s="127" t="n">
        <x:f>INTERCEPT($G$5:$G$64,$J$5:$J$64)+SLOPE($G$5:$G$64,$J$5:$J$64)*J25</x:f>
        <x:v>6602.873899270102</x:v>
      </x:c>
      <x:c r="I25" s="127" t="n">
        <x:f>IF(J25&lt;=31,INTERCEPT($G$5:$G$36,$J$5:$J$36)+SLOPE($G$5:$G$36,$J$5:$J$36)*J25,INTERCEPT($G$37:$G$64,$J$37:$J$64)+SLOPE($G$37:$G$64,$J$37:$J$64)*J25)</x:f>
        <x:v>6506.75791362959</x:v>
      </x:c>
      <x:c r="J25" s="130" t="n">
        <x:f>20</x:f>
        <x:v>20</x:v>
      </x:c>
      <x:c r="K25" s="1"/>
      <x:c r="L25" s="1"/>
      <x:c r="M25" s="1"/>
      <x:c r="N25" s="1"/>
      <x:c r="O25" s="1"/>
      <x:c r="P25" s="1"/>
    </x:row>
    <x:row r="26" ht="19" customHeight="1">
      <x:c r="A26" s="121" t="str">
        <x:f>Quarterly!A27</x:f>
        <x:v>2016 Q2</x:v>
      </x:c>
      <x:c r="B26" s="124" t="n">
        <x:f>Quarterly!I27</x:f>
        <x:v>9.117319117539951</x:v>
      </x:c>
      <x:c r="C26" s="124" t="n">
        <x:f>INTERCEPT($B$5:$B$64,$E$5:$E$64)+SLOPE($B$5:$B$64,$E$5:$E$64)*E26</x:f>
        <x:v>9.351547168456452</x:v>
      </x:c>
      <x:c r="D26" s="124" t="n">
        <x:f>IF(E26&lt;=31,INTERCEPT($B$5:$B$36,$E$5:$E$36)+SLOPE($B$5:$B$36,$E$5:$E$36)*E26,INTERCEPT($B$37:$B$64,$E$37:$E$64)+SLOPE($B$37:$B$64,$E$37:$E$64)*E26)</x:f>
        <x:v>9.792906322409541</x:v>
      </x:c>
      <x:c r="E26" s="130" t="n">
        <x:f>21</x:f>
        <x:v>21</x:v>
      </x:c>
      <x:c r="F26" s="121" t="str">
        <x:f>Quarterly!A27</x:f>
        <x:v>2016 Q2</x:v>
      </x:c>
      <x:c r="G26" s="127" t="n">
        <x:f>Quarterly!J27</x:f>
        <x:v>6357.185274151437</x:v>
      </x:c>
      <x:c r="H26" s="127" t="n">
        <x:f>INTERCEPT($G$5:$G$64,$J$5:$J$64)+SLOPE($G$5:$G$64,$J$5:$J$64)*J26</x:f>
        <x:v>6692.1198306305805</x:v>
      </x:c>
      <x:c r="I26" s="127" t="n">
        <x:f>IF(J26&lt;=31,INTERCEPT($G$5:$G$36,$J$5:$J$36)+SLOPE($G$5:$G$36,$J$5:$J$36)*J26,INTERCEPT($G$37:$G$64,$J$37:$J$64)+SLOPE($G$37:$G$64,$J$37:$J$64)*J26)</x:f>
        <x:v>6579.181887971816</x:v>
      </x:c>
      <x:c r="J26" s="130" t="n">
        <x:f>21</x:f>
        <x:v>21</x:v>
      </x:c>
      <x:c r="K26" s="1"/>
      <x:c r="L26" s="1"/>
      <x:c r="M26" s="1"/>
      <x:c r="N26" s="1"/>
      <x:c r="O26" s="1"/>
      <x:c r="P26" s="1"/>
    </x:row>
    <x:row r="27" ht="19" customHeight="1">
      <x:c r="A27" s="121" t="str">
        <x:f>Quarterly!A28</x:f>
        <x:v>2016 Q3</x:v>
      </x:c>
      <x:c r="B27" s="124" t="n">
        <x:f>Quarterly!I28</x:f>
        <x:v>9.512860563863025</x:v>
      </x:c>
      <x:c r="C27" s="124" t="n">
        <x:f>INTERCEPT($B$5:$B$64,$E$5:$E$64)+SLOPE($B$5:$B$64,$E$5:$E$64)*E27</x:f>
        <x:v>9.300099055498528</x:v>
      </x:c>
      <x:c r="D27" s="124" t="n">
        <x:f>IF(E27&lt;=31,INTERCEPT($B$5:$B$36,$E$5:$E$36)+SLOPE($B$5:$B$36,$E$5:$E$36)*E27,INTERCEPT($B$37:$B$64,$E$37:$E$64)+SLOPE($B$37:$B$64,$E$37:$E$64)*E27)</x:f>
        <x:v>9.787079341782423</x:v>
      </x:c>
      <x:c r="E27" s="130" t="n">
        <x:f>22</x:f>
        <x:v>22</x:v>
      </x:c>
      <x:c r="F27" s="121" t="str">
        <x:f>Quarterly!A28</x:f>
        <x:v>2016 Q3</x:v>
      </x:c>
      <x:c r="G27" s="127" t="n">
        <x:f>Quarterly!J28</x:f>
        <x:v>6716.031244327681</x:v>
      </x:c>
      <x:c r="H27" s="127" t="n">
        <x:f>INTERCEPT($G$5:$G$64,$J$5:$J$64)+SLOPE($G$5:$G$64,$J$5:$J$64)*J27</x:f>
        <x:v>6781.365761991059</x:v>
      </x:c>
      <x:c r="I27" s="127" t="n">
        <x:f>IF(J27&lt;=31,INTERCEPT($G$5:$G$36,$J$5:$J$36)+SLOPE($G$5:$G$36,$J$5:$J$36)*J27,INTERCEPT($G$37:$G$64,$J$37:$J$64)+SLOPE($G$37:$G$64,$J$37:$J$64)*J27)</x:f>
        <x:v>6651.605862314042</x:v>
      </x:c>
      <x:c r="J27" s="130" t="n">
        <x:f>22</x:f>
        <x:v>22</x:v>
      </x:c>
      <x:c r="K27" s="1"/>
      <x:c r="L27" s="1"/>
      <x:c r="M27" s="1"/>
      <x:c r="N27" s="1"/>
      <x:c r="O27" s="1"/>
      <x:c r="P27" s="1"/>
    </x:row>
    <x:row r="28" ht="19" customHeight="1">
      <x:c r="A28" s="121" t="str">
        <x:f>Quarterly!A29</x:f>
        <x:v>2016 Q4</x:v>
      </x:c>
      <x:c r="B28" s="124" t="n">
        <x:f>Quarterly!I29</x:f>
        <x:v>9.22256823877517</x:v>
      </x:c>
      <x:c r="C28" s="124" t="n">
        <x:f>INTERCEPT($B$5:$B$64,$E$5:$E$64)+SLOPE($B$5:$B$64,$E$5:$E$64)*E28</x:f>
        <x:v>9.248650942540605</x:v>
      </x:c>
      <x:c r="D28" s="124" t="n">
        <x:f>IF(E28&lt;=31,INTERCEPT($B$5:$B$36,$E$5:$E$36)+SLOPE($B$5:$B$36,$E$5:$E$36)*E28,INTERCEPT($B$37:$B$64,$E$37:$E$64)+SLOPE($B$37:$B$64,$E$37:$E$64)*E28)</x:f>
        <x:v>9.781252361155305</x:v>
      </x:c>
      <x:c r="E28" s="130" t="n">
        <x:f>23</x:f>
        <x:v>23</x:v>
      </x:c>
      <x:c r="F28" s="121" t="str">
        <x:f>Quarterly!A29</x:f>
        <x:v>2016 Q4</x:v>
      </x:c>
      <x:c r="G28" s="127" t="n">
        <x:f>Quarterly!J29</x:f>
        <x:v>6527.770630124151</x:v>
      </x:c>
      <x:c r="H28" s="127" t="n">
        <x:f>INTERCEPT($G$5:$G$64,$J$5:$J$64)+SLOPE($G$5:$G$64,$J$5:$J$64)*J28</x:f>
        <x:v>6870.611693351539</x:v>
      </x:c>
      <x:c r="I28" s="127" t="n">
        <x:f>IF(J28&lt;=31,INTERCEPT($G$5:$G$36,$J$5:$J$36)+SLOPE($G$5:$G$36,$J$5:$J$36)*J28,INTERCEPT($G$37:$G$64,$J$37:$J$64)+SLOPE($G$37:$G$64,$J$37:$J$64)*J28)</x:f>
        <x:v>6724.0298366562665</x:v>
      </x:c>
      <x:c r="J28" s="130" t="n">
        <x:f>23</x:f>
        <x:v>23</x:v>
      </x:c>
      <x:c r="K28" s="1"/>
      <x:c r="L28" s="1"/>
      <x:c r="M28" s="1"/>
      <x:c r="N28" s="1"/>
      <x:c r="O28" s="1"/>
      <x:c r="P28" s="1"/>
    </x:row>
    <x:row r="29" ht="19" customHeight="1">
      <x:c r="A29" s="121" t="str">
        <x:f>Quarterly!A30</x:f>
        <x:v>2017 Q1</x:v>
      </x:c>
      <x:c r="B29" s="124" t="n">
        <x:f>Quarterly!I30</x:f>
        <x:v>9.616059472334346</x:v>
      </x:c>
      <x:c r="C29" s="124" t="n">
        <x:f>INTERCEPT($B$5:$B$64,$E$5:$E$64)+SLOPE($B$5:$B$64,$E$5:$E$64)*E29</x:f>
        <x:v>9.19720282958268</x:v>
      </x:c>
      <x:c r="D29" s="124" t="n">
        <x:f>IF(E29&lt;=31,INTERCEPT($B$5:$B$36,$E$5:$E$36)+SLOPE($B$5:$B$36,$E$5:$E$36)*E29,INTERCEPT($B$37:$B$64,$E$37:$E$64)+SLOPE($B$37:$B$64,$E$37:$E$64)*E29)</x:f>
        <x:v>9.775425380528187</x:v>
      </x:c>
      <x:c r="E29" s="130" t="n">
        <x:f>24</x:f>
        <x:v>24</x:v>
      </x:c>
      <x:c r="F29" s="121" t="str">
        <x:f>Quarterly!A30</x:f>
        <x:v>2017 Q1</x:v>
      </x:c>
      <x:c r="G29" s="127" t="n">
        <x:f>Quarterly!J30</x:f>
        <x:v>6846.659621848739</x:v>
      </x:c>
      <x:c r="H29" s="127" t="n">
        <x:f>INTERCEPT($G$5:$G$64,$J$5:$J$64)+SLOPE($G$5:$G$64,$J$5:$J$64)*J29</x:f>
        <x:v>6959.857624712017</x:v>
      </x:c>
      <x:c r="I29" s="127" t="n">
        <x:f>IF(J29&lt;=31,INTERCEPT($G$5:$G$36,$J$5:$J$36)+SLOPE($G$5:$G$36,$J$5:$J$36)*J29,INTERCEPT($G$37:$G$64,$J$37:$J$64)+SLOPE($G$37:$G$64,$J$37:$J$64)*J29)</x:f>
        <x:v>6796.453810998492</x:v>
      </x:c>
      <x:c r="J29" s="130" t="n">
        <x:f>24</x:f>
        <x:v>24</x:v>
      </x:c>
      <x:c r="K29" s="1"/>
      <x:c r="L29" s="1"/>
      <x:c r="M29" s="1"/>
      <x:c r="N29" s="1"/>
      <x:c r="O29" s="1"/>
      <x:c r="P29" s="1"/>
    </x:row>
    <x:row r="30" ht="19" customHeight="1">
      <x:c r="A30" s="121" t="str">
        <x:f>Quarterly!A31</x:f>
        <x:v>2017 Q2</x:v>
      </x:c>
      <x:c r="B30" s="124" t="n">
        <x:f>Quarterly!I31</x:f>
        <x:v>9.780896467900883</x:v>
      </x:c>
      <x:c r="C30" s="124" t="n">
        <x:f>INTERCEPT($B$5:$B$64,$E$5:$E$64)+SLOPE($B$5:$B$64,$E$5:$E$64)*E30</x:f>
        <x:v>9.145754716624756</x:v>
      </x:c>
      <x:c r="D30" s="124" t="n">
        <x:f>IF(E30&lt;=31,INTERCEPT($B$5:$B$36,$E$5:$E$36)+SLOPE($B$5:$B$36,$E$5:$E$36)*E30,INTERCEPT($B$37:$B$64,$E$37:$E$64)+SLOPE($B$37:$B$64,$E$37:$E$64)*E30)</x:f>
        <x:v>9.76959839990107</x:v>
      </x:c>
      <x:c r="E30" s="130" t="n">
        <x:f>25</x:f>
        <x:v>25</x:v>
      </x:c>
      <x:c r="F30" s="121" t="str">
        <x:f>Quarterly!A31</x:f>
        <x:v>2017 Q2</x:v>
      </x:c>
      <x:c r="G30" s="127" t="n">
        <x:f>Quarterly!J31</x:f>
        <x:v>7006.843043071161</x:v>
      </x:c>
      <x:c r="H30" s="127" t="n">
        <x:f>INTERCEPT($G$5:$G$64,$J$5:$J$64)+SLOPE($G$5:$G$64,$J$5:$J$64)*J30</x:f>
        <x:v>7049.103556072496</x:v>
      </x:c>
      <x:c r="I30" s="127" t="n">
        <x:f>IF(J30&lt;=31,INTERCEPT($G$5:$G$36,$J$5:$J$36)+SLOPE($G$5:$G$36,$J$5:$J$36)*J30,INTERCEPT($G$37:$G$64,$J$37:$J$64)+SLOPE($G$37:$G$64,$J$37:$J$64)*J30)</x:f>
        <x:v>6868.877785340717</x:v>
      </x:c>
      <x:c r="J30" s="130" t="n">
        <x:f>25</x:f>
        <x:v>25</x:v>
      </x:c>
      <x:c r="K30" s="1"/>
      <x:c r="L30" s="1"/>
      <x:c r="M30" s="1"/>
      <x:c r="N30" s="1"/>
      <x:c r="O30" s="1"/>
      <x:c r="P30" s="1"/>
    </x:row>
    <x:row r="31" ht="19" customHeight="1">
      <x:c r="A31" s="121" t="str">
        <x:f>Quarterly!A32</x:f>
        <x:v>2017 Q3</x:v>
      </x:c>
      <x:c r="B31" s="124" t="n">
        <x:f>Quarterly!I32</x:f>
        <x:v>9.866551452069306</x:v>
      </x:c>
      <x:c r="C31" s="124" t="n">
        <x:f>INTERCEPT($B$5:$B$64,$E$5:$E$64)+SLOPE($B$5:$B$64,$E$5:$E$64)*E31</x:f>
        <x:v>9.094306603666833</x:v>
      </x:c>
      <x:c r="D31" s="124" t="n">
        <x:f>IF(E31&lt;=31,INTERCEPT($B$5:$B$36,$E$5:$E$36)+SLOPE($B$5:$B$36,$E$5:$E$36)*E31,INTERCEPT($B$37:$B$64,$E$37:$E$64)+SLOPE($B$37:$B$64,$E$37:$E$64)*E31)</x:f>
        <x:v>9.763771419273953</x:v>
      </x:c>
      <x:c r="E31" s="130" t="n">
        <x:f>26</x:f>
        <x:v>26</x:v>
      </x:c>
      <x:c r="F31" s="121" t="str">
        <x:f>Quarterly!A32</x:f>
        <x:v>2017 Q3</x:v>
      </x:c>
      <x:c r="G31" s="127" t="n">
        <x:f>Quarterly!J32</x:f>
        <x:v>7088.626589380941</x:v>
      </x:c>
      <x:c r="H31" s="127" t="n">
        <x:f>INTERCEPT($G$5:$G$64,$J$5:$J$64)+SLOPE($G$5:$G$64,$J$5:$J$64)*J31</x:f>
        <x:v>7138.349487432975</x:v>
      </x:c>
      <x:c r="I31" s="127" t="n">
        <x:f>IF(J31&lt;=31,INTERCEPT($G$5:$G$36,$J$5:$J$36)+SLOPE($G$5:$G$36,$J$5:$J$36)*J31,INTERCEPT($G$37:$G$64,$J$37:$J$64)+SLOPE($G$37:$G$64,$J$37:$J$64)*J31)</x:f>
        <x:v>6941.301759682943</x:v>
      </x:c>
      <x:c r="J31" s="130" t="n">
        <x:f>26</x:f>
        <x:v>26</x:v>
      </x:c>
      <x:c r="K31" s="1"/>
      <x:c r="L31" s="1"/>
      <x:c r="M31" s="1"/>
      <x:c r="N31" s="1"/>
      <x:c r="O31" s="1"/>
      <x:c r="P31" s="1"/>
    </x:row>
    <x:row r="32" ht="19" customHeight="1">
      <x:c r="A32" s="121" t="str">
        <x:f>Quarterly!A33</x:f>
        <x:v>2017 Q4</x:v>
      </x:c>
      <x:c r="B32" s="124" t="n">
        <x:f>Quarterly!I33</x:f>
        <x:v>9.61920101051691</x:v>
      </x:c>
      <x:c r="C32" s="124" t="n">
        <x:f>INTERCEPT($B$5:$B$64,$E$5:$E$64)+SLOPE($B$5:$B$64,$E$5:$E$64)*E32</x:f>
        <x:v>9.042858490708909</x:v>
      </x:c>
      <x:c r="D32" s="124" t="n">
        <x:f>IF(E32&lt;=31,INTERCEPT($B$5:$B$36,$E$5:$E$36)+SLOPE($B$5:$B$36,$E$5:$E$36)*E32,INTERCEPT($B$37:$B$64,$E$37:$E$64)+SLOPE($B$37:$B$64,$E$37:$E$64)*E32)</x:f>
        <x:v>9.757944438646835</x:v>
      </x:c>
      <x:c r="E32" s="130" t="n">
        <x:f>27</x:f>
        <x:v>27</x:v>
      </x:c>
      <x:c r="F32" s="121" t="str">
        <x:f>Quarterly!A33</x:f>
        <x:v>2017 Q4</x:v>
      </x:c>
      <x:c r="G32" s="127" t="n">
        <x:f>Quarterly!J33</x:f>
        <x:v>6922.3953515625</x:v>
      </x:c>
      <x:c r="H32" s="127" t="n">
        <x:f>INTERCEPT($G$5:$G$64,$J$5:$J$64)+SLOPE($G$5:$G$64,$J$5:$J$64)*J32</x:f>
        <x:v>7227.595418793455</x:v>
      </x:c>
      <x:c r="I32" s="127" t="n">
        <x:f>IF(J32&lt;=31,INTERCEPT($G$5:$G$36,$J$5:$J$36)+SLOPE($G$5:$G$36,$J$5:$J$36)*J32,INTERCEPT($G$37:$G$64,$J$37:$J$64)+SLOPE($G$37:$G$64,$J$37:$J$64)*J32)</x:f>
        <x:v>7013.725734025168</x:v>
      </x:c>
      <x:c r="J32" s="130" t="n">
        <x:f>27</x:f>
        <x:v>27</x:v>
      </x:c>
      <x:c r="K32" s="1"/>
      <x:c r="L32" s="1"/>
      <x:c r="M32" s="1"/>
      <x:c r="N32" s="1"/>
      <x:c r="O32" s="1"/>
      <x:c r="P32" s="1"/>
    </x:row>
    <x:row r="33" ht="19" customHeight="1">
      <x:c r="A33" s="121" t="str">
        <x:f>Quarterly!A34</x:f>
        <x:v>2018 Q1</x:v>
      </x:c>
      <x:c r="B33" s="124" t="n">
        <x:f>Quarterly!I34</x:f>
        <x:v>10.051746401038203</x:v>
      </x:c>
      <x:c r="C33" s="124" t="n">
        <x:f>INTERCEPT($B$5:$B$64,$E$5:$E$64)+SLOPE($B$5:$B$64,$E$5:$E$64)*E33</x:f>
        <x:v>8.991410377750984</x:v>
      </x:c>
      <x:c r="D33" s="124" t="n">
        <x:f>IF(E33&lt;=31,INTERCEPT($B$5:$B$36,$E$5:$E$36)+SLOPE($B$5:$B$36,$E$5:$E$36)*E33,INTERCEPT($B$37:$B$64,$E$37:$E$64)+SLOPE($B$37:$B$64,$E$37:$E$64)*E33)</x:f>
        <x:v>9.752117458019717</x:v>
      </x:c>
      <x:c r="E33" s="130" t="n">
        <x:f>28</x:f>
        <x:v>28</x:v>
      </x:c>
      <x:c r="F33" s="121" t="str">
        <x:f>Quarterly!A34</x:f>
        <x:v>2018 Q1</x:v>
      </x:c>
      <x:c r="G33" s="127" t="n">
        <x:f>Quarterly!J34</x:f>
        <x:v>7180.622221715328</x:v>
      </x:c>
      <x:c r="H33" s="127" t="n">
        <x:f>INTERCEPT($G$5:$G$64,$J$5:$J$64)+SLOPE($G$5:$G$64,$J$5:$J$64)*J33</x:f>
        <x:v>7316.8413501539335</x:v>
      </x:c>
      <x:c r="I33" s="127" t="n">
        <x:f>IF(J33&lt;=31,INTERCEPT($G$5:$G$36,$J$5:$J$36)+SLOPE($G$5:$G$36,$J$5:$J$36)*J33,INTERCEPT($G$37:$G$64,$J$37:$J$64)+SLOPE($G$37:$G$64,$J$37:$J$64)*J33)</x:f>
        <x:v>7086.149708367394</x:v>
      </x:c>
      <x:c r="J33" s="130" t="n">
        <x:f>28</x:f>
        <x:v>28</x:v>
      </x:c>
      <x:c r="K33" s="1"/>
      <x:c r="L33" s="1"/>
      <x:c r="M33" s="1"/>
      <x:c r="N33" s="1"/>
      <x:c r="O33" s="1"/>
      <x:c r="P33" s="1"/>
    </x:row>
    <x:row r="34" ht="19" customHeight="1">
      <x:c r="A34" s="121" t="str">
        <x:f>Quarterly!A35</x:f>
        <x:v>2018 Q2</x:v>
      </x:c>
      <x:c r="B34" s="124" t="n">
        <x:f>Quarterly!I35</x:f>
        <x:v>10.321203198120884</x:v>
      </x:c>
      <x:c r="C34" s="124" t="n">
        <x:f>INTERCEPT($B$5:$B$64,$E$5:$E$64)+SLOPE($B$5:$B$64,$E$5:$E$64)*E34</x:f>
        <x:v>8.939962264793062</x:v>
      </x:c>
      <x:c r="D34" s="124" t="n">
        <x:f>IF(E34&lt;=31,INTERCEPT($B$5:$B$36,$E$5:$E$36)+SLOPE($B$5:$B$36,$E$5:$E$36)*E34,INTERCEPT($B$37:$B$64,$E$37:$E$64)+SLOPE($B$37:$B$64,$E$37:$E$64)*E34)</x:f>
        <x:v>9.746290477392598</x:v>
      </x:c>
      <x:c r="E34" s="130" t="n">
        <x:f>29</x:f>
        <x:v>29</x:v>
      </x:c>
      <x:c r="F34" s="121" t="str">
        <x:f>Quarterly!A35</x:f>
        <x:v>2018 Q2</x:v>
      </x:c>
      <x:c r="G34" s="127" t="n">
        <x:f>Quarterly!J35</x:f>
        <x:v>7402.87855588302</x:v>
      </x:c>
      <x:c r="H34" s="127" t="n">
        <x:f>INTERCEPT($G$5:$G$64,$J$5:$J$64)+SLOPE($G$5:$G$64,$J$5:$J$64)*J34</x:f>
        <x:v>7406.087281514412</x:v>
      </x:c>
      <x:c r="I34" s="127" t="n">
        <x:f>IF(J34&lt;=31,INTERCEPT($G$5:$G$36,$J$5:$J$36)+SLOPE($G$5:$G$36,$J$5:$J$36)*J34,INTERCEPT($G$37:$G$64,$J$37:$J$64)+SLOPE($G$37:$G$64,$J$37:$J$64)*J34)</x:f>
        <x:v>7158.573682709619</x:v>
      </x:c>
      <x:c r="J34" s="130" t="n">
        <x:f>29</x:f>
        <x:v>29</x:v>
      </x:c>
      <x:c r="K34" s="1"/>
      <x:c r="L34" s="1"/>
      <x:c r="M34" s="1"/>
      <x:c r="N34" s="1"/>
      <x:c r="O34" s="1"/>
      <x:c r="P34" s="1"/>
    </x:row>
    <x:row r="35" ht="19" customHeight="1">
      <x:c r="A35" s="121" t="str">
        <x:f>Quarterly!A36</x:f>
        <x:v>2018 Q3</x:v>
      </x:c>
      <x:c r="B35" s="124" t="n">
        <x:f>Quarterly!I36</x:f>
        <x:v>10.015192844762103</x:v>
      </x:c>
      <x:c r="C35" s="124" t="n">
        <x:f>INTERCEPT($B$5:$B$64,$E$5:$E$64)+SLOPE($B$5:$B$64,$E$5:$E$64)*E35</x:f>
        <x:v>8.888514151835137</x:v>
      </x:c>
      <x:c r="D35" s="124" t="n">
        <x:f>IF(E35&lt;=31,INTERCEPT($B$5:$B$36,$E$5:$E$36)+SLOPE($B$5:$B$36,$E$5:$E$36)*E35,INTERCEPT($B$37:$B$64,$E$37:$E$64)+SLOPE($B$37:$B$64,$E$37:$E$64)*E35)</x:f>
        <x:v>9.740463496765482</x:v>
      </x:c>
      <x:c r="E35" s="130" t="n">
        <x:f>30</x:f>
        <x:v>30</x:v>
      </x:c>
      <x:c r="F35" s="121" t="str">
        <x:f>Quarterly!A36</x:f>
        <x:v>2018 Q3</x:v>
      </x:c>
      <x:c r="G35" s="127" t="n">
        <x:f>Quarterly!J36</x:f>
        <x:v>7236.854124943617</x:v>
      </x:c>
      <x:c r="H35" s="127" t="n">
        <x:f>INTERCEPT($G$5:$G$64,$J$5:$J$64)+SLOPE($G$5:$G$64,$J$5:$J$64)*J35</x:f>
        <x:v>7495.333212874892</x:v>
      </x:c>
      <x:c r="I35" s="127" t="n">
        <x:f>IF(J35&lt;=31,INTERCEPT($G$5:$G$36,$J$5:$J$36)+SLOPE($G$5:$G$36,$J$5:$J$36)*J35,INTERCEPT($G$37:$G$64,$J$37:$J$64)+SLOPE($G$37:$G$64,$J$37:$J$64)*J35)</x:f>
        <x:v>7230.997657051845</x:v>
      </x:c>
      <x:c r="J35" s="130" t="n">
        <x:f>30</x:f>
        <x:v>30</x:v>
      </x:c>
      <x:c r="K35" s="1"/>
      <x:c r="L35" s="1"/>
      <x:c r="M35" s="1"/>
      <x:c r="N35" s="1"/>
      <x:c r="O35" s="1"/>
      <x:c r="P35" s="1"/>
    </x:row>
    <x:row r="36" ht="19" customHeight="1">
      <x:c r="A36" s="121" t="str">
        <x:f>Quarterly!A37</x:f>
        <x:v>2018 Q4</x:v>
      </x:c>
      <x:c r="B36" s="124" t="n">
        <x:f>Quarterly!I37</x:f>
        <x:v>10.537641222438504</x:v>
      </x:c>
      <x:c r="C36" s="124" t="n">
        <x:f>INTERCEPT($B$5:$B$64,$E$5:$E$64)+SLOPE($B$5:$B$64,$E$5:$E$64)*E36</x:f>
        <x:v>8.837066038877213</x:v>
      </x:c>
      <x:c r="D36" s="124" t="n">
        <x:f>IF(E36&lt;=31,INTERCEPT($B$5:$B$36,$E$5:$E$36)+SLOPE($B$5:$B$36,$E$5:$E$36)*E36,INTERCEPT($B$37:$B$64,$E$37:$E$64)+SLOPE($B$37:$B$64,$E$37:$E$64)*E36)</x:f>
        <x:v>9.734636516138364</x:v>
      </x:c>
      <x:c r="E36" s="130" t="n">
        <x:f>31</x:f>
        <x:v>31</x:v>
      </x:c>
      <x:c r="F36" s="121" t="str">
        <x:f>Quarterly!A37</x:f>
        <x:v>2018 Q4</x:v>
      </x:c>
      <x:c r="G36" s="127" t="n">
        <x:f>Quarterly!J37</x:f>
        <x:v>7671.362301836095</x:v>
      </x:c>
      <x:c r="H36" s="127" t="n">
        <x:f>INTERCEPT($G$5:$G$64,$J$5:$J$64)+SLOPE($G$5:$G$64,$J$5:$J$64)*J36</x:f>
        <x:v>7584.579144235371</x:v>
      </x:c>
      <x:c r="I36" s="127" t="n">
        <x:f>IF(J36&lt;=31,INTERCEPT($G$5:$G$36,$J$5:$J$36)+SLOPE($G$5:$G$36,$J$5:$J$36)*J36,INTERCEPT($G$37:$G$64,$J$37:$J$64)+SLOPE($G$37:$G$64,$J$37:$J$64)*J36)</x:f>
        <x:v>7303.421631394071</x:v>
      </x:c>
      <x:c r="J36" s="130" t="n">
        <x:f>31</x:f>
        <x:v>31</x:v>
      </x:c>
      <x:c r="K36" s="1"/>
      <x:c r="L36" s="1"/>
      <x:c r="M36" s="1"/>
      <x:c r="N36" s="1"/>
      <x:c r="O36" s="1"/>
      <x:c r="P36" s="1"/>
    </x:row>
    <x:row r="37" ht="19" customHeight="1">
      <x:c r="A37" s="121" t="str">
        <x:f>Quarterly!A38</x:f>
        <x:v>2019 Q1</x:v>
      </x:c>
      <x:c r="B37" s="124" t="n">
        <x:f>Quarterly!I38</x:f>
        <x:v>8.324877652412214</x:v>
      </x:c>
      <x:c r="C37" s="124" t="n">
        <x:f>INTERCEPT($B$5:$B$64,$E$5:$E$64)+SLOPE($B$5:$B$64,$E$5:$E$64)*E37</x:f>
        <x:v>8.78561792591929</x:v>
      </x:c>
      <x:c r="D37" s="124" t="n">
        <x:f>IF(E37&lt;=31,INTERCEPT($B$5:$B$36,$E$5:$E$36)+SLOPE($B$5:$B$36,$E$5:$E$36)*E37,INTERCEPT($B$37:$B$64,$E$37:$E$64)+SLOPE($B$37:$B$64,$E$37:$E$64)*E37)</x:f>
        <x:v>8.13665783233405</x:v>
      </x:c>
      <x:c r="E37" s="130" t="n">
        <x:f>32</x:f>
        <x:v>32</x:v>
      </x:c>
      <x:c r="F37" s="121" t="str">
        <x:f>Quarterly!A38</x:f>
        <x:v>2019 Q1</x:v>
      </x:c>
      <x:c r="G37" s="127" t="n">
        <x:f>Quarterly!J38</x:f>
        <x:v>7422.041776531993</x:v>
      </x:c>
      <x:c r="H37" s="127" t="n">
        <x:f>INTERCEPT($G$5:$G$64,$J$5:$J$64)+SLOPE($G$5:$G$64,$J$5:$J$64)*J37</x:f>
        <x:v>7673.82507559585</x:v>
      </x:c>
      <x:c r="I37" s="127" t="n">
        <x:f>IF(J37&lt;=31,INTERCEPT($G$5:$G$36,$J$5:$J$36)+SLOPE($G$5:$G$36,$J$5:$J$36)*J37,INTERCEPT($G$37:$G$64,$J$37:$J$64)+SLOPE($G$37:$G$64,$J$37:$J$64)*J37)</x:f>
        <x:v>7502.899337994346</x:v>
      </x:c>
      <x:c r="J37" s="130" t="n">
        <x:f>32</x:f>
        <x:v>32</x:v>
      </x:c>
      <x:c r="K37" s="1"/>
      <x:c r="L37" s="1"/>
      <x:c r="M37" s="1"/>
      <x:c r="N37" s="1"/>
      <x:c r="O37" s="1"/>
      <x:c r="P37" s="1"/>
    </x:row>
    <x:row r="38" ht="19" customHeight="1">
      <x:c r="A38" s="121" t="str">
        <x:f>Quarterly!A39</x:f>
        <x:v>2019 Q2</x:v>
      </x:c>
      <x:c r="B38" s="124" t="n">
        <x:f>Quarterly!I39</x:f>
        <x:v>8.487551923161568</x:v>
      </x:c>
      <x:c r="C38" s="124" t="n">
        <x:f>INTERCEPT($B$5:$B$64,$E$5:$E$64)+SLOPE($B$5:$B$64,$E$5:$E$64)*E38</x:f>
        <x:v>8.734169812961365</x:v>
      </x:c>
      <x:c r="D38" s="124" t="n">
        <x:f>IF(E38&lt;=31,INTERCEPT($B$5:$B$36,$E$5:$E$36)+SLOPE($B$5:$B$36,$E$5:$E$36)*E38,INTERCEPT($B$37:$B$64,$E$37:$E$64)+SLOPE($B$37:$B$64,$E$37:$E$64)*E38)</x:f>
        <x:v>8.117158684942554</x:v>
      </x:c>
      <x:c r="E38" s="130" t="n">
        <x:f>33</x:f>
        <x:v>33</x:v>
      </x:c>
      <x:c r="F38" s="121" t="str">
        <x:f>Quarterly!A39</x:f>
        <x:v>2019 Q2</x:v>
      </x:c>
      <x:c r="G38" s="127" t="n">
        <x:f>Quarterly!J39</x:f>
        <x:v>7726.06002326483</x:v>
      </x:c>
      <x:c r="H38" s="127" t="n">
        <x:f>INTERCEPT($G$5:$G$64,$J$5:$J$64)+SLOPE($G$5:$G$64,$J$5:$J$64)*J38</x:f>
        <x:v>7763.071006956328</x:v>
      </x:c>
      <x:c r="I38" s="127" t="n">
        <x:f>IF(J38&lt;=31,INTERCEPT($G$5:$G$36,$J$5:$J$36)+SLOPE($G$5:$G$36,$J$5:$J$36)*J38,INTERCEPT($G$37:$G$64,$J$37:$J$64)+SLOPE($G$37:$G$64,$J$37:$J$64)*J38)</x:f>
        <x:v>7606.534873541888</x:v>
      </x:c>
      <x:c r="J38" s="130" t="n">
        <x:f>33</x:f>
        <x:v>33</x:v>
      </x:c>
      <x:c r="K38" s="1"/>
      <x:c r="L38" s="1"/>
      <x:c r="M38" s="1"/>
      <x:c r="N38" s="1"/>
      <x:c r="O38" s="1"/>
      <x:c r="P38" s="1"/>
    </x:row>
    <x:row r="39" ht="19" customHeight="1">
      <x:c r="A39" s="121" t="str">
        <x:f>Quarterly!A40</x:f>
        <x:v>2019 Q3</x:v>
      </x:c>
      <x:c r="B39" s="124" t="n">
        <x:f>Quarterly!I40</x:f>
        <x:v>8.64938459914391</x:v>
      </x:c>
      <x:c r="C39" s="124" t="n">
        <x:f>INTERCEPT($B$5:$B$64,$E$5:$E$64)+SLOPE($B$5:$B$64,$E$5:$E$64)*E39</x:f>
        <x:v>8.682721700003441</x:v>
      </x:c>
      <x:c r="D39" s="124" t="n">
        <x:f>IF(E39&lt;=31,INTERCEPT($B$5:$B$36,$E$5:$E$36)+SLOPE($B$5:$B$36,$E$5:$E$36)*E39,INTERCEPT($B$37:$B$64,$E$37:$E$64)+SLOPE($B$37:$B$64,$E$37:$E$64)*E39)</x:f>
        <x:v>8.09765953755106</x:v>
      </x:c>
      <x:c r="E39" s="130" t="n">
        <x:f>34</x:f>
        <x:v>34</x:v>
      </x:c>
      <x:c r="F39" s="121" t="str">
        <x:f>Quarterly!A40</x:f>
        <x:v>2019 Q3</x:v>
      </x:c>
      <x:c r="G39" s="127" t="n">
        <x:f>Quarterly!J40</x:f>
        <x:v>7844.118529355517</x:v>
      </x:c>
      <x:c r="H39" s="127" t="n">
        <x:f>INTERCEPT($G$5:$G$64,$J$5:$J$64)+SLOPE($G$5:$G$64,$J$5:$J$64)*J39</x:f>
        <x:v>7852.316938316808</x:v>
      </x:c>
      <x:c r="I39" s="127" t="n">
        <x:f>IF(J39&lt;=31,INTERCEPT($G$5:$G$36,$J$5:$J$36)+SLOPE($G$5:$G$36,$J$5:$J$36)*J39,INTERCEPT($G$37:$G$64,$J$37:$J$64)+SLOPE($G$37:$G$64,$J$37:$J$64)*J39)</x:f>
        <x:v>7710.17040908943</x:v>
      </x:c>
      <x:c r="J39" s="130" t="n">
        <x:f>34</x:f>
        <x:v>34</x:v>
      </x:c>
      <x:c r="K39" s="1"/>
      <x:c r="L39" s="1"/>
      <x:c r="M39" s="1"/>
      <x:c r="N39" s="1"/>
      <x:c r="O39" s="1"/>
      <x:c r="P39" s="1"/>
    </x:row>
    <x:row r="40" ht="19" customHeight="1">
      <x:c r="A40" s="121" t="str">
        <x:f>Quarterly!A41</x:f>
        <x:v>2019 Q4</x:v>
      </x:c>
      <x:c r="B40" s="124" t="n">
        <x:f>Quarterly!I41</x:f>
        <x:v>8.950814428819143</x:v>
      </x:c>
      <x:c r="C40" s="124" t="n">
        <x:f>INTERCEPT($B$5:$B$64,$E$5:$E$64)+SLOPE($B$5:$B$64,$E$5:$E$64)*E40</x:f>
        <x:v>8.631273587045518</x:v>
      </x:c>
      <x:c r="D40" s="124" t="n">
        <x:f>IF(E40&lt;=31,INTERCEPT($B$5:$B$36,$E$5:$E$36)+SLOPE($B$5:$B$36,$E$5:$E$36)*E40,INTERCEPT($B$37:$B$64,$E$37:$E$64)+SLOPE($B$37:$B$64,$E$37:$E$64)*E40)</x:f>
        <x:v>8.078160390159564</x:v>
      </x:c>
      <x:c r="E40" s="130" t="n">
        <x:f>35</x:f>
        <x:v>35</x:v>
      </x:c>
      <x:c r="F40" s="121" t="str">
        <x:f>Quarterly!A41</x:f>
        <x:v>2019 Q4</x:v>
      </x:c>
      <x:c r="G40" s="127" t="n">
        <x:f>Quarterly!J41</x:f>
        <x:v>8170.959302548381</x:v>
      </x:c>
      <x:c r="H40" s="127" t="n">
        <x:f>INTERCEPT($G$5:$G$64,$J$5:$J$64)+SLOPE($G$5:$G$64,$J$5:$J$64)*J40</x:f>
        <x:v>7941.562869677287</x:v>
      </x:c>
      <x:c r="I40" s="127" t="n">
        <x:f>IF(J40&lt;=31,INTERCEPT($G$5:$G$36,$J$5:$J$36)+SLOPE($G$5:$G$36,$J$5:$J$36)*J40,INTERCEPT($G$37:$G$64,$J$37:$J$64)+SLOPE($G$37:$G$64,$J$37:$J$64)*J40)</x:f>
        <x:v>7813.805944636972</x:v>
      </x:c>
      <x:c r="J40" s="130" t="n">
        <x:f>35</x:f>
        <x:v>35</x:v>
      </x:c>
      <x:c r="K40" s="1"/>
      <x:c r="L40" s="1"/>
      <x:c r="M40" s="1"/>
      <x:c r="N40" s="1"/>
      <x:c r="O40" s="1"/>
      <x:c r="P40" s="1"/>
    </x:row>
    <x:row r="41" ht="19" customHeight="1">
      <x:c r="A41" s="121" t="str">
        <x:f>Quarterly!A42</x:f>
        <x:v>2020 Q1</x:v>
      </x:c>
      <x:c r="B41" s="124" t="n">
        <x:f>Quarterly!I42</x:f>
        <x:v>8.560987851083445</x:v>
      </x:c>
      <x:c r="C41" s="124" t="n">
        <x:f>INTERCEPT($B$5:$B$64,$E$5:$E$64)+SLOPE($B$5:$B$64,$E$5:$E$64)*E41</x:f>
        <x:v>8.579825474087594</x:v>
      </x:c>
      <x:c r="D41" s="124" t="n">
        <x:f>IF(E41&lt;=31,INTERCEPT($B$5:$B$36,$E$5:$E$36)+SLOPE($B$5:$B$36,$E$5:$E$36)*E41,INTERCEPT($B$37:$B$64,$E$37:$E$64)+SLOPE($B$37:$B$64,$E$37:$E$64)*E41)</x:f>
        <x:v>8.058661242768068</x:v>
      </x:c>
      <x:c r="E41" s="130" t="n">
        <x:f>36</x:f>
        <x:v>36</x:v>
      </x:c>
      <x:c r="F41" s="121" t="str">
        <x:f>Quarterly!A42</x:f>
        <x:v>2020 Q1</x:v>
      </x:c>
      <x:c r="G41" s="127" t="n">
        <x:f>Quarterly!J42</x:f>
        <x:v>7958.188757072802</x:v>
      </x:c>
      <x:c r="H41" s="127" t="n">
        <x:f>INTERCEPT($G$5:$G$64,$J$5:$J$64)+SLOPE($G$5:$G$64,$J$5:$J$64)*J41</x:f>
        <x:v>8030.808801037766</x:v>
      </x:c>
      <x:c r="I41" s="127" t="n">
        <x:f>IF(J41&lt;=31,INTERCEPT($G$5:$G$36,$J$5:$J$36)+SLOPE($G$5:$G$36,$J$5:$J$36)*J41,INTERCEPT($G$37:$G$64,$J$37:$J$64)+SLOPE($G$37:$G$64,$J$37:$J$64)*J41)</x:f>
        <x:v>7917.441480184514</x:v>
      </x:c>
      <x:c r="J41" s="130" t="n">
        <x:f>36</x:f>
        <x:v>36</x:v>
      </x:c>
      <x:c r="K41" s="1"/>
      <x:c r="L41" s="1"/>
      <x:c r="M41" s="1"/>
      <x:c r="N41" s="1"/>
      <x:c r="O41" s="1"/>
      <x:c r="P41" s="1"/>
    </x:row>
    <x:row r="42" ht="19" customHeight="1">
      <x:c r="A42" s="121" t="str">
        <x:f>Quarterly!A43</x:f>
        <x:v>2020 Q2</x:v>
      </x:c>
      <x:c r="B42" s="124" t="n">
        <x:f>Quarterly!I43</x:f>
        <x:v>7.789398521201632</x:v>
      </x:c>
      <x:c r="C42" s="124" t="n">
        <x:f>INTERCEPT($B$5:$B$64,$E$5:$E$64)+SLOPE($B$5:$B$64,$E$5:$E$64)*E42</x:f>
        <x:v>8.52837736112967</x:v>
      </x:c>
      <x:c r="D42" s="124" t="n">
        <x:f>IF(E42&lt;=31,INTERCEPT($B$5:$B$36,$E$5:$E$36)+SLOPE($B$5:$B$36,$E$5:$E$36)*E42,INTERCEPT($B$37:$B$64,$E$37:$E$64)+SLOPE($B$37:$B$64,$E$37:$E$64)*E42)</x:f>
        <x:v>8.039162095376572</x:v>
      </x:c>
      <x:c r="E42" s="130" t="n">
        <x:f>37</x:f>
        <x:v>37</x:v>
      </x:c>
      <x:c r="F42" s="121" t="str">
        <x:f>Quarterly!A43</x:f>
        <x:v>2020 Q2</x:v>
      </x:c>
      <x:c r="G42" s="127" t="n">
        <x:f>Quarterly!J43</x:f>
        <x:v>7861.110894875658</x:v>
      </x:c>
      <x:c r="H42" s="127" t="n">
        <x:f>INTERCEPT($G$5:$G$64,$J$5:$J$64)+SLOPE($G$5:$G$64,$J$5:$J$64)*J42</x:f>
        <x:v>8120.054732398245</x:v>
      </x:c>
      <x:c r="I42" s="127" t="n">
        <x:f>IF(J42&lt;=31,INTERCEPT($G$5:$G$36,$J$5:$J$36)+SLOPE($G$5:$G$36,$J$5:$J$36)*J42,INTERCEPT($G$37:$G$64,$J$37:$J$64)+SLOPE($G$37:$G$64,$J$37:$J$64)*J42)</x:f>
        <x:v>8021.077015732056</x:v>
      </x:c>
      <x:c r="J42" s="130" t="n">
        <x:f>37</x:f>
        <x:v>37</x:v>
      </x:c>
      <x:c r="K42" s="1"/>
      <x:c r="L42" s="1"/>
      <x:c r="M42" s="1"/>
      <x:c r="N42" s="1"/>
      <x:c r="O42" s="1"/>
      <x:c r="P42" s="1"/>
    </x:row>
    <x:row r="43" ht="19" customHeight="1">
      <x:c r="A43" s="121" t="str">
        <x:f>Quarterly!A44</x:f>
        <x:v>2020 Q3</x:v>
      </x:c>
      <x:c r="B43" s="124" t="n">
        <x:f>Quarterly!I44</x:f>
        <x:v>7.800512517621745</x:v>
      </x:c>
      <x:c r="C43" s="124" t="n">
        <x:f>INTERCEPT($B$5:$B$64,$E$5:$E$64)+SLOPE($B$5:$B$64,$E$5:$E$64)*E43</x:f>
        <x:v>8.476929248171746</x:v>
      </x:c>
      <x:c r="D43" s="124" t="n">
        <x:f>IF(E43&lt;=31,INTERCEPT($B$5:$B$36,$E$5:$E$36)+SLOPE($B$5:$B$36,$E$5:$E$36)*E43,INTERCEPT($B$37:$B$64,$E$37:$E$64)+SLOPE($B$37:$B$64,$E$37:$E$64)*E43)</x:f>
        <x:v>8.019662947985077</x:v>
      </x:c>
      <x:c r="E43" s="130" t="n">
        <x:f>38</x:f>
        <x:v>38</x:v>
      </x:c>
      <x:c r="F43" s="121" t="str">
        <x:f>Quarterly!A44</x:f>
        <x:v>2020 Q3</x:v>
      </x:c>
      <x:c r="G43" s="127" t="n">
        <x:f>Quarterly!J44</x:f>
        <x:v>7942.322620412845</x:v>
      </x:c>
      <x:c r="H43" s="127" t="n">
        <x:f>INTERCEPT($G$5:$G$64,$J$5:$J$64)+SLOPE($G$5:$G$64,$J$5:$J$64)*J43</x:f>
        <x:v>8209.300663758724</x:v>
      </x:c>
      <x:c r="I43" s="127" t="n">
        <x:f>IF(J43&lt;=31,INTERCEPT($G$5:$G$36,$J$5:$J$36)+SLOPE($G$5:$G$36,$J$5:$J$36)*J43,INTERCEPT($G$37:$G$64,$J$37:$J$64)+SLOPE($G$37:$G$64,$J$37:$J$64)*J43)</x:f>
        <x:v>8124.712551279597</x:v>
      </x:c>
      <x:c r="J43" s="130" t="n">
        <x:f>38</x:f>
        <x:v>38</x:v>
      </x:c>
      <x:c r="K43" s="1"/>
      <x:c r="L43" s="1"/>
      <x:c r="M43" s="1"/>
      <x:c r="N43" s="1"/>
      <x:c r="O43" s="1"/>
      <x:c r="P43" s="1"/>
    </x:row>
    <x:row r="44" ht="19" customHeight="1">
      <x:c r="A44" s="121" t="str">
        <x:f>Quarterly!A45</x:f>
        <x:v>2020 Q4</x:v>
      </x:c>
      <x:c r="B44" s="124" t="n">
        <x:f>Quarterly!I45</x:f>
        <x:v>8.150691715991401</x:v>
      </x:c>
      <x:c r="C44" s="124" t="n">
        <x:f>INTERCEPT($B$5:$B$64,$E$5:$E$64)+SLOPE($B$5:$B$64,$E$5:$E$64)*E44</x:f>
        <x:v>8.425481135213822</x:v>
      </x:c>
      <x:c r="D44" s="124" t="n">
        <x:f>IF(E44&lt;=31,INTERCEPT($B$5:$B$36,$E$5:$E$36)+SLOPE($B$5:$B$36,$E$5:$E$36)*E44,INTERCEPT($B$37:$B$64,$E$37:$E$64)+SLOPE($B$37:$B$64,$E$37:$E$64)*E44)</x:f>
        <x:v>8.000163800593581</x:v>
      </x:c>
      <x:c r="E44" s="130" t="n">
        <x:f>39</x:f>
        <x:v>39</x:v>
      </x:c>
      <x:c r="F44" s="121" t="str">
        <x:f>Quarterly!A45</x:f>
        <x:v>2020 Q4</x:v>
      </x:c>
      <x:c r="G44" s="127" t="n">
        <x:f>Quarterly!J45</x:f>
        <x:v>8605.918102843787</x:v>
      </x:c>
      <x:c r="H44" s="127" t="n">
        <x:f>INTERCEPT($G$5:$G$64,$J$5:$J$64)+SLOPE($G$5:$G$64,$J$5:$J$64)*J44</x:f>
        <x:v>8298.546595119204</x:v>
      </x:c>
      <x:c r="I44" s="127" t="n">
        <x:f>IF(J44&lt;=31,INTERCEPT($G$5:$G$36,$J$5:$J$36)+SLOPE($G$5:$G$36,$J$5:$J$36)*J44,INTERCEPT($G$37:$G$64,$J$37:$J$64)+SLOPE($G$37:$G$64,$J$37:$J$64)*J44)</x:f>
        <x:v>8228.34808682714</x:v>
      </x:c>
      <x:c r="J44" s="130" t="n">
        <x:f>39</x:f>
        <x:v>39</x:v>
      </x:c>
      <x:c r="K44" s="1"/>
      <x:c r="L44" s="1"/>
      <x:c r="M44" s="1"/>
      <x:c r="N44" s="1"/>
      <x:c r="O44" s="1"/>
      <x:c r="P44" s="1"/>
    </x:row>
    <x:row r="45" ht="19" customHeight="1">
      <x:c r="A45" s="121" t="str">
        <x:f>Quarterly!A46</x:f>
        <x:v>2021 Q1</x:v>
      </x:c>
      <x:c r="B45" s="124" t="n">
        <x:f>Quarterly!I46</x:f>
        <x:v>7.560446989043781</x:v>
      </x:c>
      <x:c r="C45" s="124" t="n">
        <x:f>INTERCEPT($B$5:$B$64,$E$5:$E$64)+SLOPE($B$5:$B$64,$E$5:$E$64)*E45</x:f>
        <x:v>8.374033022255897</x:v>
      </x:c>
      <x:c r="D45" s="124" t="n">
        <x:f>IF(E45&lt;=31,INTERCEPT($B$5:$B$36,$E$5:$E$36)+SLOPE($B$5:$B$36,$E$5:$E$36)*E45,INTERCEPT($B$37:$B$64,$E$37:$E$64)+SLOPE($B$37:$B$64,$E$37:$E$64)*E45)</x:f>
        <x:v>7.980664653202085</x:v>
      </x:c>
      <x:c r="E45" s="130" t="n">
        <x:f>40</x:f>
        <x:v>40</x:v>
      </x:c>
      <x:c r="F45" s="121" t="str">
        <x:f>Quarterly!A46</x:f>
        <x:v>2021 Q1</x:v>
      </x:c>
      <x:c r="G45" s="127" t="n">
        <x:f>Quarterly!J46</x:f>
        <x:v>8127.625769610748</x:v>
      </x:c>
      <x:c r="H45" s="127" t="n">
        <x:f>INTERCEPT($G$5:$G$64,$J$5:$J$64)+SLOPE($G$5:$G$64,$J$5:$J$64)*J45</x:f>
        <x:v>8387.792526479683</x:v>
      </x:c>
      <x:c r="I45" s="127" t="n">
        <x:f>IF(J45&lt;=31,INTERCEPT($G$5:$G$36,$J$5:$J$36)+SLOPE($G$5:$G$36,$J$5:$J$36)*J45,INTERCEPT($G$37:$G$64,$J$37:$J$64)+SLOPE($G$37:$G$64,$J$37:$J$64)*J45)</x:f>
        <x:v>8331.983622374682</x:v>
      </x:c>
      <x:c r="J45" s="130" t="n">
        <x:f>40</x:f>
        <x:v>40</x:v>
      </x:c>
      <x:c r="K45" s="1"/>
      <x:c r="L45" s="1"/>
      <x:c r="M45" s="1"/>
      <x:c r="N45" s="1"/>
      <x:c r="O45" s="1"/>
      <x:c r="P45" s="1"/>
    </x:row>
    <x:row r="46" ht="19" customHeight="1">
      <x:c r="A46" s="121" t="str">
        <x:f>Quarterly!A47</x:f>
        <x:v>2021 Q2</x:v>
      </x:c>
      <x:c r="B46" s="124" t="n">
        <x:f>Quarterly!I47</x:f>
        <x:v>7.604053427458477</x:v>
      </x:c>
      <x:c r="C46" s="124" t="n">
        <x:f>INTERCEPT($B$5:$B$64,$E$5:$E$64)+SLOPE($B$5:$B$64,$E$5:$E$64)*E46</x:f>
        <x:v>8.322584909297975</x:v>
      </x:c>
      <x:c r="D46" s="124" t="n">
        <x:f>IF(E46&lt;=31,INTERCEPT($B$5:$B$36,$E$5:$E$36)+SLOPE($B$5:$B$36,$E$5:$E$36)*E46,INTERCEPT($B$37:$B$64,$E$37:$E$64)+SLOPE($B$37:$B$64,$E$37:$E$64)*E46)</x:f>
        <x:v>7.96116550581059</x:v>
      </x:c>
      <x:c r="E46" s="130" t="n">
        <x:f>41</x:f>
        <x:v>41</x:v>
      </x:c>
      <x:c r="F46" s="121" t="str">
        <x:f>Quarterly!A47</x:f>
        <x:v>2021 Q2</x:v>
      </x:c>
      <x:c r="G46" s="127" t="n">
        <x:f>Quarterly!J47</x:f>
        <x:v>8393.528103552077</x:v>
      </x:c>
      <x:c r="H46" s="127" t="n">
        <x:f>INTERCEPT($G$5:$G$64,$J$5:$J$64)+SLOPE($G$5:$G$64,$J$5:$J$64)*J46</x:f>
        <x:v>8477.03845784016</x:v>
      </x:c>
      <x:c r="I46" s="127" t="n">
        <x:f>IF(J46&lt;=31,INTERCEPT($G$5:$G$36,$J$5:$J$36)+SLOPE($G$5:$G$36,$J$5:$J$36)*J46,INTERCEPT($G$37:$G$64,$J$37:$J$64)+SLOPE($G$37:$G$64,$J$37:$J$64)*J46)</x:f>
        <x:v>8435.619157922225</x:v>
      </x:c>
      <x:c r="J46" s="130" t="n">
        <x:f>41</x:f>
        <x:v>41</x:v>
      </x:c>
      <x:c r="K46" s="1"/>
      <x:c r="L46" s="1"/>
      <x:c r="M46" s="1"/>
      <x:c r="N46" s="1"/>
      <x:c r="O46" s="1"/>
      <x:c r="P46" s="1"/>
    </x:row>
    <x:row r="47" ht="19" customHeight="1">
      <x:c r="A47" s="121" t="str">
        <x:f>Quarterly!A48</x:f>
        <x:v>2021 Q3</x:v>
      </x:c>
      <x:c r="B47" s="124" t="n">
        <x:f>Quarterly!I48</x:f>
        <x:v>7.838703850845585</x:v>
      </x:c>
      <x:c r="C47" s="124" t="n">
        <x:f>INTERCEPT($B$5:$B$64,$E$5:$E$64)+SLOPE($B$5:$B$64,$E$5:$E$64)*E47</x:f>
        <x:v>8.27113679634005</x:v>
      </x:c>
      <x:c r="D47" s="124" t="n">
        <x:f>IF(E47&lt;=31,INTERCEPT($B$5:$B$36,$E$5:$E$36)+SLOPE($B$5:$B$36,$E$5:$E$36)*E47,INTERCEPT($B$37:$B$64,$E$37:$E$64)+SLOPE($B$37:$B$64,$E$37:$E$64)*E47)</x:f>
        <x:v>7.941666358419095</x:v>
      </x:c>
      <x:c r="E47" s="130" t="n">
        <x:f>42</x:f>
        <x:v>42</x:v>
      </x:c>
      <x:c r="F47" s="121" t="str">
        <x:f>Quarterly!A48</x:f>
        <x:v>2021 Q3</x:v>
      </x:c>
      <x:c r="G47" s="127" t="n">
        <x:f>Quarterly!J48</x:f>
        <x:v>8779.202247122957</x:v>
      </x:c>
      <x:c r="H47" s="127" t="n">
        <x:f>INTERCEPT($G$5:$G$64,$J$5:$J$64)+SLOPE($G$5:$G$64,$J$5:$J$64)*J47</x:f>
        <x:v>8566.28438920064</x:v>
      </x:c>
      <x:c r="I47" s="127" t="n">
        <x:f>IF(J47&lt;=31,INTERCEPT($G$5:$G$36,$J$5:$J$36)+SLOPE($G$5:$G$36,$J$5:$J$36)*J47,INTERCEPT($G$37:$G$64,$J$37:$J$64)+SLOPE($G$37:$G$64,$J$37:$J$64)*J47)</x:f>
        <x:v>8539.254693469766</x:v>
      </x:c>
      <x:c r="J47" s="130" t="n">
        <x:f>42</x:f>
        <x:v>42</x:v>
      </x:c>
      <x:c r="K47" s="1"/>
      <x:c r="L47" s="1"/>
      <x:c r="M47" s="1"/>
      <x:c r="N47" s="1"/>
      <x:c r="O47" s="1"/>
      <x:c r="P47" s="1"/>
    </x:row>
    <x:row r="48" ht="19" customHeight="1">
      <x:c r="A48" s="121" t="str">
        <x:f>Quarterly!A49</x:f>
        <x:v>2021 Q4</x:v>
      </x:c>
      <x:c r="B48" s="124" t="n">
        <x:f>Quarterly!I49</x:f>
        <x:v>7.50322617982376</x:v>
      </x:c>
      <x:c r="C48" s="124" t="n">
        <x:f>INTERCEPT($B$5:$B$64,$E$5:$E$64)+SLOPE($B$5:$B$64,$E$5:$E$64)*E48</x:f>
        <x:v>8.219688683382127</x:v>
      </x:c>
      <x:c r="D48" s="124" t="n">
        <x:f>IF(E48&lt;=31,INTERCEPT($B$5:$B$36,$E$5:$E$36)+SLOPE($B$5:$B$36,$E$5:$E$36)*E48,INTERCEPT($B$37:$B$64,$E$37:$E$64)+SLOPE($B$37:$B$64,$E$37:$E$64)*E48)</x:f>
        <x:v>7.922167211027599</x:v>
      </x:c>
      <x:c r="E48" s="130" t="n">
        <x:f>43</x:f>
        <x:v>43</x:v>
      </x:c>
      <x:c r="F48" s="121" t="str">
        <x:f>Quarterly!A49</x:f>
        <x:v>2021 Q4</x:v>
      </x:c>
      <x:c r="G48" s="127" t="n">
        <x:f>Quarterly!J49</x:f>
        <x:v>8753.793018211582</x:v>
      </x:c>
      <x:c r="H48" s="127" t="n">
        <x:f>INTERCEPT($G$5:$G$64,$J$5:$J$64)+SLOPE($G$5:$G$64,$J$5:$J$64)*J48</x:f>
        <x:v>8655.53032056112</x:v>
      </x:c>
      <x:c r="I48" s="127" t="n">
        <x:f>IF(J48&lt;=31,INTERCEPT($G$5:$G$36,$J$5:$J$36)+SLOPE($G$5:$G$36,$J$5:$J$36)*J48,INTERCEPT($G$37:$G$64,$J$37:$J$64)+SLOPE($G$37:$G$64,$J$37:$J$64)*J48)</x:f>
        <x:v>8642.890229017308</x:v>
      </x:c>
      <x:c r="J48" s="130" t="n">
        <x:f>43</x:f>
        <x:v>43</x:v>
      </x:c>
      <x:c r="K48" s="1"/>
      <x:c r="L48" s="1"/>
      <x:c r="M48" s="1"/>
      <x:c r="N48" s="1"/>
      <x:c r="O48" s="1"/>
      <x:c r="P48" s="1"/>
    </x:row>
    <x:row r="49" ht="19" customHeight="1">
      <x:c r="A49" s="121" t="str">
        <x:f>Quarterly!A50</x:f>
        <x:v>2022 Q1</x:v>
      </x:c>
      <x:c r="B49" s="124" t="n">
        <x:f>Quarterly!I50</x:f>
        <x:v>7.542888257834076</x:v>
      </x:c>
      <x:c r="C49" s="124" t="n">
        <x:f>INTERCEPT($B$5:$B$64,$E$5:$E$64)+SLOPE($B$5:$B$64,$E$5:$E$64)*E49</x:f>
        <x:v>8.168240570424203</x:v>
      </x:c>
      <x:c r="D49" s="124" t="n">
        <x:f>IF(E49&lt;=31,INTERCEPT($B$5:$B$36,$E$5:$E$36)+SLOPE($B$5:$B$36,$E$5:$E$36)*E49,INTERCEPT($B$37:$B$64,$E$37:$E$64)+SLOPE($B$37:$B$64,$E$37:$E$64)*E49)</x:f>
        <x:v>7.902668063636104</x:v>
      </x:c>
      <x:c r="E49" s="130" t="n">
        <x:f>44</x:f>
        <x:v>44</x:v>
      </x:c>
      <x:c r="F49" s="121" t="str">
        <x:f>Quarterly!A50</x:f>
        <x:v>2022 Q1</x:v>
      </x:c>
      <x:c r="G49" s="127" t="n">
        <x:f>Quarterly!J50</x:f>
        <x:v>8737.893708987162</x:v>
      </x:c>
      <x:c r="H49" s="127" t="n">
        <x:f>INTERCEPT($G$5:$G$64,$J$5:$J$64)+SLOPE($G$5:$G$64,$J$5:$J$64)*J49</x:f>
        <x:v>8744.776251921598</x:v>
      </x:c>
      <x:c r="I49" s="127" t="n">
        <x:f>IF(J49&lt;=31,INTERCEPT($G$5:$G$36,$J$5:$J$36)+SLOPE($G$5:$G$36,$J$5:$J$36)*J49,INTERCEPT($G$37:$G$64,$J$37:$J$64)+SLOPE($G$37:$G$64,$J$37:$J$64)*J49)</x:f>
        <x:v>8746.525764564849</x:v>
      </x:c>
      <x:c r="J49" s="130" t="n">
        <x:f>44</x:f>
        <x:v>44</x:v>
      </x:c>
      <x:c r="K49" s="1"/>
      <x:c r="L49" s="1"/>
      <x:c r="M49" s="1"/>
      <x:c r="N49" s="1"/>
      <x:c r="O49" s="1"/>
      <x:c r="P49" s="1"/>
    </x:row>
    <x:row r="50" ht="19" customHeight="1">
      <x:c r="A50" s="121" t="str">
        <x:f>Quarterly!A51</x:f>
        <x:v>2022 Q2</x:v>
      </x:c>
      <x:c r="B50" s="124" t="n">
        <x:f>Quarterly!I51</x:f>
        <x:v>7.546087093338956</x:v>
      </x:c>
      <x:c r="C50" s="124" t="n">
        <x:f>INTERCEPT($B$5:$B$64,$E$5:$E$64)+SLOPE($B$5:$B$64,$E$5:$E$64)*E50</x:f>
        <x:v>8.116792457466278</x:v>
      </x:c>
      <x:c r="D50" s="124" t="n">
        <x:f>IF(E50&lt;=31,INTERCEPT($B$5:$B$36,$E$5:$E$36)+SLOPE($B$5:$B$36,$E$5:$E$36)*E50,INTERCEPT($B$37:$B$64,$E$37:$E$64)+SLOPE($B$37:$B$64,$E$37:$E$64)*E50)</x:f>
        <x:v>7.883168916244608</x:v>
      </x:c>
      <x:c r="E50" s="130" t="n">
        <x:f>45</x:f>
        <x:v>45</x:v>
      </x:c>
      <x:c r="F50" s="121" t="str">
        <x:f>Quarterly!A51</x:f>
        <x:v>2022 Q2</x:v>
      </x:c>
      <x:c r="G50" s="127" t="n">
        <x:f>Quarterly!J51</x:f>
        <x:v>8631.117938061938</x:v>
      </x:c>
      <x:c r="H50" s="127" t="n">
        <x:f>INTERCEPT($G$5:$G$64,$J$5:$J$64)+SLOPE($G$5:$G$64,$J$5:$J$64)*J50</x:f>
        <x:v>8834.022183282077</x:v>
      </x:c>
      <x:c r="I50" s="127" t="n">
        <x:f>IF(J50&lt;=31,INTERCEPT($G$5:$G$36,$J$5:$J$36)+SLOPE($G$5:$G$36,$J$5:$J$36)*J50,INTERCEPT($G$37:$G$64,$J$37:$J$64)+SLOPE($G$37:$G$64,$J$37:$J$64)*J50)</x:f>
        <x:v>8850.161300112391</x:v>
      </x:c>
      <x:c r="J50" s="130" t="n">
        <x:f>45</x:f>
        <x:v>45</x:v>
      </x:c>
      <x:c r="K50" s="1"/>
      <x:c r="L50" s="1"/>
      <x:c r="M50" s="1"/>
      <x:c r="N50" s="1"/>
      <x:c r="O50" s="1"/>
      <x:c r="P50" s="1"/>
    </x:row>
    <x:row r="51" ht="19" customHeight="1">
      <x:c r="A51" s="121" t="str">
        <x:f>Quarterly!A52</x:f>
        <x:v>2022 Q3</x:v>
      </x:c>
      <x:c r="B51" s="124" t="n">
        <x:f>Quarterly!I52</x:f>
        <x:v>7.422521463575668</x:v>
      </x:c>
      <x:c r="C51" s="124" t="n">
        <x:f>INTERCEPT($B$5:$B$64,$E$5:$E$64)+SLOPE($B$5:$B$64,$E$5:$E$64)*E51</x:f>
        <x:v>8.065344344508354</x:v>
      </x:c>
      <x:c r="D51" s="124" t="n">
        <x:f>IF(E51&lt;=31,INTERCEPT($B$5:$B$36,$E$5:$E$36)+SLOPE($B$5:$B$36,$E$5:$E$36)*E51,INTERCEPT($B$37:$B$64,$E$37:$E$64)+SLOPE($B$37:$B$64,$E$37:$E$64)*E51)</x:f>
        <x:v>7.8636697688531125</x:v>
      </x:c>
      <x:c r="E51" s="130" t="n">
        <x:f>46</x:f>
        <x:v>46</x:v>
      </x:c>
      <x:c r="F51" s="121" t="str">
        <x:f>Quarterly!A52</x:f>
        <x:v>2022 Q3</x:v>
      </x:c>
      <x:c r="G51" s="127" t="n">
        <x:f>Quarterly!J52</x:f>
        <x:v>8635.492217365389</x:v>
      </x:c>
      <x:c r="H51" s="127" t="n">
        <x:f>INTERCEPT($G$5:$G$64,$J$5:$J$64)+SLOPE($G$5:$G$64,$J$5:$J$64)*J51</x:f>
        <x:v>8923.268114642557</x:v>
      </x:c>
      <x:c r="I51" s="127" t="n">
        <x:f>IF(J51&lt;=31,INTERCEPT($G$5:$G$36,$J$5:$J$36)+SLOPE($G$5:$G$36,$J$5:$J$36)*J51,INTERCEPT($G$37:$G$64,$J$37:$J$64)+SLOPE($G$37:$G$64,$J$37:$J$64)*J51)</x:f>
        <x:v>8953.796835659934</x:v>
      </x:c>
      <x:c r="J51" s="130" t="n">
        <x:f>46</x:f>
        <x:v>46</x:v>
      </x:c>
      <x:c r="K51" s="1"/>
      <x:c r="L51" s="1"/>
      <x:c r="M51" s="1"/>
      <x:c r="N51" s="1"/>
      <x:c r="O51" s="1"/>
      <x:c r="P51" s="1"/>
    </x:row>
    <x:row r="52" ht="19" customHeight="1">
      <x:c r="A52" s="121" t="str">
        <x:f>Quarterly!A53</x:f>
        <x:v>2022 Q4</x:v>
      </x:c>
      <x:c r="B52" s="124" t="n">
        <x:f>Quarterly!I53</x:f>
        <x:v>7.510501686664444</x:v>
      </x:c>
      <x:c r="C52" s="124" t="n">
        <x:f>INTERCEPT($B$5:$B$64,$E$5:$E$64)+SLOPE($B$5:$B$64,$E$5:$E$64)*E52</x:f>
        <x:v>8.013896231550431</x:v>
      </x:c>
      <x:c r="D52" s="124" t="n">
        <x:f>IF(E52&lt;=31,INTERCEPT($B$5:$B$36,$E$5:$E$36)+SLOPE($B$5:$B$36,$E$5:$E$36)*E52,INTERCEPT($B$37:$B$64,$E$37:$E$64)+SLOPE($B$37:$B$64,$E$37:$E$64)*E52)</x:f>
        <x:v>7.8441706214616165</x:v>
      </x:c>
      <x:c r="E52" s="130" t="n">
        <x:f>47</x:f>
        <x:v>47</x:v>
      </x:c>
      <x:c r="F52" s="121" t="str">
        <x:f>Quarterly!A53</x:f>
        <x:v>2022 Q4</x:v>
      </x:c>
      <x:c r="G52" s="127" t="n">
        <x:f>Quarterly!J53</x:f>
        <x:v>8989.830594788144</x:v>
      </x:c>
      <x:c r="H52" s="127" t="n">
        <x:f>INTERCEPT($G$5:$G$64,$J$5:$J$64)+SLOPE($G$5:$G$64,$J$5:$J$64)*J52</x:f>
        <x:v>9012.514046003034</x:v>
      </x:c>
      <x:c r="I52" s="127" t="n">
        <x:f>IF(J52&lt;=31,INTERCEPT($G$5:$G$36,$J$5:$J$36)+SLOPE($G$5:$G$36,$J$5:$J$36)*J52,INTERCEPT($G$37:$G$64,$J$37:$J$64)+SLOPE($G$37:$G$64,$J$37:$J$64)*J52)</x:f>
        <x:v>9057.432371207477</x:v>
      </x:c>
      <x:c r="J52" s="130" t="n">
        <x:f>47</x:f>
        <x:v>47</x:v>
      </x:c>
      <x:c r="K52" s="1"/>
      <x:c r="L52" s="1"/>
      <x:c r="M52" s="1"/>
      <x:c r="N52" s="1"/>
      <x:c r="O52" s="1"/>
      <x:c r="P52" s="1"/>
    </x:row>
    <x:row r="53" ht="19" customHeight="1">
      <x:c r="A53" s="121" t="str">
        <x:f>Quarterly!A54</x:f>
        <x:v>2023 Q1</x:v>
      </x:c>
      <x:c r="B53" s="124" t="n">
        <x:f>Quarterly!I54</x:f>
        <x:v>7.055511059582246</x:v>
      </x:c>
      <x:c r="C53" s="124" t="n">
        <x:f>INTERCEPT($B$5:$B$64,$E$5:$E$64)+SLOPE($B$5:$B$64,$E$5:$E$64)*E53</x:f>
        <x:v>7.962448118592507</x:v>
      </x:c>
      <x:c r="D53" s="124" t="n">
        <x:f>IF(E53&lt;=31,INTERCEPT($B$5:$B$36,$E$5:$E$36)+SLOPE($B$5:$B$36,$E$5:$E$36)*E53,INTERCEPT($B$37:$B$64,$E$37:$E$64)+SLOPE($B$37:$B$64,$E$37:$E$64)*E53)</x:f>
        <x:v>7.824671474070121</x:v>
      </x:c>
      <x:c r="E53" s="130" t="n">
        <x:f>48</x:f>
        <x:v>48</x:v>
      </x:c>
      <x:c r="F53" s="121" t="str">
        <x:f>Quarterly!A54</x:f>
        <x:v>2023 Q1</x:v>
      </x:c>
      <x:c r="G53" s="127" t="n">
        <x:f>Quarterly!J54</x:f>
        <x:v>8450.35562697161</x:v>
      </x:c>
      <x:c r="H53" s="127" t="n">
        <x:f>INTERCEPT($G$5:$G$64,$J$5:$J$64)+SLOPE($G$5:$G$64,$J$5:$J$64)*J53</x:f>
        <x:v>9101.759977363514</x:v>
      </x:c>
      <x:c r="I53" s="127" t="n">
        <x:f>IF(J53&lt;=31,INTERCEPT($G$5:$G$36,$J$5:$J$36)+SLOPE($G$5:$G$36,$J$5:$J$36)*J53,INTERCEPT($G$37:$G$64,$J$37:$J$64)+SLOPE($G$37:$G$64,$J$37:$J$64)*J53)</x:f>
        <x:v>9161.067906755019</x:v>
      </x:c>
      <x:c r="J53" s="130" t="n">
        <x:f>48</x:f>
        <x:v>48</x:v>
      </x:c>
      <x:c r="K53" s="1"/>
      <x:c r="L53" s="1"/>
      <x:c r="M53" s="1"/>
      <x:c r="N53" s="1"/>
      <x:c r="O53" s="1"/>
      <x:c r="P53" s="1"/>
    </x:row>
    <x:row r="54" ht="19" customHeight="1">
      <x:c r="A54" s="121" t="str">
        <x:f>Quarterly!A55</x:f>
        <x:v>2023 Q2</x:v>
      </x:c>
      <x:c r="B54" s="124" t="n">
        <x:f>Quarterly!I55</x:f>
        <x:v>7.008651354609295</x:v>
      </x:c>
      <x:c r="C54" s="124" t="n">
        <x:f>INTERCEPT($B$5:$B$64,$E$5:$E$64)+SLOPE($B$5:$B$64,$E$5:$E$64)*E54</x:f>
        <x:v>7.911000005634583</x:v>
      </x:c>
      <x:c r="D54" s="124" t="n">
        <x:f>IF(E54&lt;=31,INTERCEPT($B$5:$B$36,$E$5:$E$36)+SLOPE($B$5:$B$36,$E$5:$E$36)*E54,INTERCEPT($B$37:$B$64,$E$37:$E$64)+SLOPE($B$37:$B$64,$E$37:$E$64)*E54)</x:f>
        <x:v>7.805172326678626</x:v>
      </x:c>
      <x:c r="E54" s="130" t="n">
        <x:f>49</x:f>
        <x:v>49</x:v>
      </x:c>
      <x:c r="F54" s="121" t="str">
        <x:f>Quarterly!A55</x:f>
        <x:v>2023 Q2</x:v>
      </x:c>
      <x:c r="G54" s="127" t="n">
        <x:f>Quarterly!J55</x:f>
        <x:v>8394.151363547184</x:v>
      </x:c>
      <x:c r="H54" s="127" t="n">
        <x:f>INTERCEPT($G$5:$G$64,$J$5:$J$64)+SLOPE($G$5:$G$64,$J$5:$J$64)*J54</x:f>
        <x:v>9191.005908723993</x:v>
      </x:c>
      <x:c r="I54" s="127" t="n">
        <x:f>IF(J54&lt;=31,INTERCEPT($G$5:$G$36,$J$5:$J$36)+SLOPE($G$5:$G$36,$J$5:$J$36)*J54,INTERCEPT($G$37:$G$64,$J$37:$J$64)+SLOPE($G$37:$G$64,$J$37:$J$64)*J54)</x:f>
        <x:v>9264.70344230256</x:v>
      </x:c>
      <x:c r="J54" s="130" t="n">
        <x:f>49</x:f>
        <x:v>49</x:v>
      </x:c>
      <x:c r="K54" s="1"/>
      <x:c r="L54" s="1"/>
      <x:c r="M54" s="1"/>
      <x:c r="N54" s="1"/>
      <x:c r="O54" s="1"/>
      <x:c r="P54" s="1"/>
    </x:row>
    <x:row r="55" ht="19" customHeight="1">
      <x:c r="A55" s="121" t="str">
        <x:f>Quarterly!A56</x:f>
        <x:v>2023 Q3</x:v>
      </x:c>
      <x:c r="B55" s="124" t="n">
        <x:f>Quarterly!I56</x:f>
        <x:v>7.642424807932338</x:v>
      </x:c>
      <x:c r="C55" s="124" t="n">
        <x:f>INTERCEPT($B$5:$B$64,$E$5:$E$64)+SLOPE($B$5:$B$64,$E$5:$E$64)*E55</x:f>
        <x:v>7.859551892676659</x:v>
      </x:c>
      <x:c r="D55" s="124" t="n">
        <x:f>IF(E55&lt;=31,INTERCEPT($B$5:$B$36,$E$5:$E$36)+SLOPE($B$5:$B$36,$E$5:$E$36)*E55,INTERCEPT($B$37:$B$64,$E$37:$E$64)+SLOPE($B$37:$B$64,$E$37:$E$64)*E55)</x:f>
        <x:v>7.78567317928713</x:v>
      </x:c>
      <x:c r="E55" s="130" t="n">
        <x:f>50</x:f>
        <x:v>50</x:v>
      </x:c>
      <x:c r="F55" s="121" t="str">
        <x:f>Quarterly!A56</x:f>
        <x:v>2023 Q3</x:v>
      </x:c>
      <x:c r="G55" s="127" t="n">
        <x:f>Quarterly!J56</x:f>
        <x:v>9314.44861879577</x:v>
      </x:c>
      <x:c r="H55" s="127" t="n">
        <x:f>INTERCEPT($G$5:$G$64,$J$5:$J$64)+SLOPE($G$5:$G$64,$J$5:$J$64)*J55</x:f>
        <x:v>9280.251840084471</x:v>
      </x:c>
      <x:c r="I55" s="127" t="n">
        <x:f>IF(J55&lt;=31,INTERCEPT($G$5:$G$36,$J$5:$J$36)+SLOPE($G$5:$G$36,$J$5:$J$36)*J55,INTERCEPT($G$37:$G$64,$J$37:$J$64)+SLOPE($G$37:$G$64,$J$37:$J$64)*J55)</x:f>
        <x:v>9368.338977850102</x:v>
      </x:c>
      <x:c r="J55" s="130" t="n">
        <x:f>50</x:f>
        <x:v>50</x:v>
      </x:c>
      <x:c r="K55" s="1"/>
      <x:c r="L55" s="1"/>
      <x:c r="M55" s="1"/>
      <x:c r="N55" s="1"/>
      <x:c r="O55" s="1"/>
      <x:c r="P55" s="1"/>
    </x:row>
    <x:row r="56" ht="19" customHeight="1">
      <x:c r="A56" s="121" t="str">
        <x:f>Quarterly!A57</x:f>
        <x:v>2023 Q4</x:v>
      </x:c>
      <x:c r="B56" s="124" t="n">
        <x:f>Quarterly!I57</x:f>
        <x:v>7.9765097799643</x:v>
      </x:c>
      <x:c r="C56" s="124" t="n">
        <x:f>INTERCEPT($B$5:$B$64,$E$5:$E$64)+SLOPE($B$5:$B$64,$E$5:$E$64)*E56</x:f>
        <x:v>7.808103779718735</x:v>
      </x:c>
      <x:c r="D56" s="124" t="n">
        <x:f>IF(E56&lt;=31,INTERCEPT($B$5:$B$36,$E$5:$E$36)+SLOPE($B$5:$B$36,$E$5:$E$36)*E56,INTERCEPT($B$37:$B$64,$E$37:$E$64)+SLOPE($B$37:$B$64,$E$37:$E$64)*E56)</x:f>
        <x:v>7.766174031895635</x:v>
      </x:c>
      <x:c r="E56" s="130" t="n">
        <x:f>51</x:f>
        <x:v>51</x:v>
      </x:c>
      <x:c r="F56" s="121" t="str">
        <x:f>Quarterly!A57</x:f>
        <x:v>2023 Q4</x:v>
      </x:c>
      <x:c r="G56" s="127" t="n">
        <x:f>Quarterly!J57</x:f>
        <x:v>10034.535810754482</x:v>
      </x:c>
      <x:c r="H56" s="127" t="n">
        <x:f>INTERCEPT($G$5:$G$64,$J$5:$J$64)+SLOPE($G$5:$G$64,$J$5:$J$64)*J56</x:f>
        <x:v>9369.497771444952</x:v>
      </x:c>
      <x:c r="I56" s="127" t="n">
        <x:f>IF(J56&lt;=31,INTERCEPT($G$5:$G$36,$J$5:$J$36)+SLOPE($G$5:$G$36,$J$5:$J$36)*J56,INTERCEPT($G$37:$G$64,$J$37:$J$64)+SLOPE($G$37:$G$64,$J$37:$J$64)*J56)</x:f>
        <x:v>9471.974513397643</x:v>
      </x:c>
      <x:c r="J56" s="130" t="n">
        <x:f>51</x:f>
        <x:v>51</x:v>
      </x:c>
      <x:c r="K56" s="1"/>
      <x:c r="L56" s="1"/>
      <x:c r="M56" s="1"/>
      <x:c r="N56" s="1"/>
      <x:c r="O56" s="1"/>
      <x:c r="P56" s="1"/>
    </x:row>
    <x:row r="57" ht="19" customHeight="1">
      <x:c r="A57" s="121" t="str">
        <x:f>Quarterly!A58</x:f>
        <x:v>2024 Q1</x:v>
      </x:c>
      <x:c r="B57" s="124" t="n">
        <x:f>Quarterly!I58</x:f>
        <x:v>7.845682364726641</x:v>
      </x:c>
      <x:c r="C57" s="124" t="n">
        <x:f>INTERCEPT($B$5:$B$64,$E$5:$E$64)+SLOPE($B$5:$B$64,$E$5:$E$64)*E57</x:f>
        <x:v>7.756655666760811</x:v>
      </x:c>
      <x:c r="D57" s="124" t="n">
        <x:f>IF(E57&lt;=31,INTERCEPT($B$5:$B$36,$E$5:$E$36)+SLOPE($B$5:$B$36,$E$5:$E$36)*E57,INTERCEPT($B$37:$B$64,$E$37:$E$64)+SLOPE($B$37:$B$64,$E$37:$E$64)*E57)</x:f>
        <x:v>7.746674884504139</x:v>
      </x:c>
      <x:c r="E57" s="130" t="n">
        <x:f>52</x:f>
        <x:v>52</x:v>
      </x:c>
      <x:c r="F57" s="121" t="str">
        <x:f>Quarterly!A58</x:f>
        <x:v>2024 Q1</x:v>
      </x:c>
      <x:c r="G57" s="127" t="n">
        <x:f>Quarterly!J58</x:f>
        <x:v>9891.819342772613</x:v>
      </x:c>
      <x:c r="H57" s="127" t="n">
        <x:f>INTERCEPT($G$5:$G$64,$J$5:$J$64)+SLOPE($G$5:$G$64,$J$5:$J$64)*J57</x:f>
        <x:v>9458.74370280543</x:v>
      </x:c>
      <x:c r="I57" s="127" t="n">
        <x:f>IF(J57&lt;=31,INTERCEPT($G$5:$G$36,$J$5:$J$36)+SLOPE($G$5:$G$36,$J$5:$J$36)*J57,INTERCEPT($G$37:$G$64,$J$37:$J$64)+SLOPE($G$37:$G$64,$J$37:$J$64)*J57)</x:f>
        <x:v>9575.610048945186</x:v>
      </x:c>
      <x:c r="J57" s="130" t="n">
        <x:f>52</x:f>
        <x:v>52</x:v>
      </x:c>
      <x:c r="K57" s="1"/>
      <x:c r="L57" s="1"/>
      <x:c r="M57" s="1"/>
      <x:c r="N57" s="1"/>
      <x:c r="O57" s="1"/>
      <x:c r="P57" s="1"/>
    </x:row>
    <x:row r="58" ht="19" customHeight="1">
      <x:c r="A58" s="121" t="str">
        <x:f>Quarterly!A59</x:f>
        <x:v>2024 Q2</x:v>
      </x:c>
      <x:c r="B58" s="124" t="n">
        <x:f>Quarterly!I59</x:f>
        <x:v>7.753017664656301</x:v>
      </x:c>
      <x:c r="C58" s="124" t="n">
        <x:f>INTERCEPT($B$5:$B$64,$E$5:$E$64)+SLOPE($B$5:$B$64,$E$5:$E$64)*E58</x:f>
        <x:v>7.705207553802888</x:v>
      </x:c>
      <x:c r="D58" s="124" t="n">
        <x:f>IF(E58&lt;=31,INTERCEPT($B$5:$B$36,$E$5:$E$36)+SLOPE($B$5:$B$36,$E$5:$E$36)*E58,INTERCEPT($B$37:$B$64,$E$37:$E$64)+SLOPE($B$37:$B$64,$E$37:$E$64)*E58)</x:f>
        <x:v>7.727175737112644</x:v>
      </x:c>
      <x:c r="E58" s="130" t="n">
        <x:f>53</x:f>
        <x:v>53</x:v>
      </x:c>
      <x:c r="F58" s="121" t="str">
        <x:f>Quarterly!A59</x:f>
        <x:v>2024 Q2</x:v>
      </x:c>
      <x:c r="G58" s="127" t="n">
        <x:f>Quarterly!J59</x:f>
        <x:v>9821.284652983497</x:v>
      </x:c>
      <x:c r="H58" s="127" t="n">
        <x:f>INTERCEPT($G$5:$G$64,$J$5:$J$64)+SLOPE($G$5:$G$64,$J$5:$J$64)*J58</x:f>
        <x:v>9547.98963416591</x:v>
      </x:c>
      <x:c r="I58" s="127" t="n">
        <x:f>IF(J58&lt;=31,INTERCEPT($G$5:$G$36,$J$5:$J$36)+SLOPE($G$5:$G$36,$J$5:$J$36)*J58,INTERCEPT($G$37:$G$64,$J$37:$J$64)+SLOPE($G$37:$G$64,$J$37:$J$64)*J58)</x:f>
        <x:v>9679.245584492728</x:v>
      </x:c>
      <x:c r="J58" s="130" t="n">
        <x:f>53</x:f>
        <x:v>53</x:v>
      </x:c>
      <x:c r="K58" s="1"/>
      <x:c r="L58" s="1"/>
      <x:c r="M58" s="1"/>
      <x:c r="N58" s="1"/>
      <x:c r="O58" s="1"/>
      <x:c r="P58" s="1"/>
    </x:row>
    <x:row r="59" ht="19" customHeight="1">
      <x:c r="A59" s="121" t="str">
        <x:f>Quarterly!A60</x:f>
        <x:v>2024 Q3</x:v>
      </x:c>
      <x:c r="B59" s="124" t="n">
        <x:f>Quarterly!I60</x:f>
        <x:v>7.891188149807988</x:v>
      </x:c>
      <x:c r="C59" s="124" t="n">
        <x:f>INTERCEPT($B$5:$B$64,$E$5:$E$64)+SLOPE($B$5:$B$64,$E$5:$E$64)*E59</x:f>
        <x:v>7.653759440844963</x:v>
      </x:c>
      <x:c r="D59" s="124" t="n">
        <x:f>IF(E59&lt;=31,INTERCEPT($B$5:$B$36,$E$5:$E$36)+SLOPE($B$5:$B$36,$E$5:$E$36)*E59,INTERCEPT($B$37:$B$64,$E$37:$E$64)+SLOPE($B$37:$B$64,$E$37:$E$64)*E59)</x:f>
        <x:v>7.707676589721148</x:v>
      </x:c>
      <x:c r="E59" s="130" t="n">
        <x:f>54</x:f>
        <x:v>54</x:v>
      </x:c>
      <x:c r="F59" s="121" t="str">
        <x:f>Quarterly!A60</x:f>
        <x:v>2024 Q3</x:v>
      </x:c>
      <x:c r="G59" s="127" t="n">
        <x:f>Quarterly!J60</x:f>
        <x:v>9935.736782994925</x:v>
      </x:c>
      <x:c r="H59" s="127" t="n">
        <x:f>INTERCEPT($G$5:$G$64,$J$5:$J$64)+SLOPE($G$5:$G$64,$J$5:$J$64)*J59</x:f>
        <x:v>9637.23556552639</x:v>
      </x:c>
      <x:c r="I59" s="127" t="n">
        <x:f>IF(J59&lt;=31,INTERCEPT($G$5:$G$36,$J$5:$J$36)+SLOPE($G$5:$G$36,$J$5:$J$36)*J59,INTERCEPT($G$37:$G$64,$J$37:$J$64)+SLOPE($G$37:$G$64,$J$37:$J$64)*J59)</x:f>
        <x:v>9782.88112004027</x:v>
      </x:c>
      <x:c r="J59" s="130" t="n">
        <x:f>54</x:f>
        <x:v>54</x:v>
      </x:c>
      <x:c r="K59" s="1"/>
      <x:c r="L59" s="1"/>
      <x:c r="M59" s="1"/>
      <x:c r="N59" s="1"/>
      <x:c r="O59" s="1"/>
      <x:c r="P59" s="1"/>
    </x:row>
    <x:row r="60" ht="19" customHeight="1">
      <x:c r="A60" s="121" t="str">
        <x:f>Quarterly!A61</x:f>
        <x:v>2024 Q4</x:v>
      </x:c>
      <x:c r="B60" s="124" t="n">
        <x:f>Quarterly!I61</x:f>
        <x:v>7.848191144428819</x:v>
      </x:c>
      <x:c r="C60" s="124" t="n">
        <x:f>INTERCEPT($B$5:$B$64,$E$5:$E$64)+SLOPE($B$5:$B$64,$E$5:$E$64)*E60</x:f>
        <x:v>7.60231132788704</x:v>
      </x:c>
      <x:c r="D60" s="124" t="n">
        <x:f>IF(E60&lt;=31,INTERCEPT($B$5:$B$36,$E$5:$E$36)+SLOPE($B$5:$B$36,$E$5:$E$36)*E60,INTERCEPT($B$37:$B$64,$E$37:$E$64)+SLOPE($B$37:$B$64,$E$37:$E$64)*E60)</x:f>
        <x:v>7.6881774423296525</x:v>
      </x:c>
      <x:c r="E60" s="130" t="n">
        <x:f>55</x:f>
        <x:v>55</x:v>
      </x:c>
      <x:c r="F60" s="121" t="str">
        <x:f>Quarterly!A61</x:f>
        <x:v>2024 Q4</x:v>
      </x:c>
      <x:c r="G60" s="127" t="n">
        <x:f>Quarterly!J61</x:f>
        <x:v>10062.042893952299</x:v>
      </x:c>
      <x:c r="H60" s="127" t="n">
        <x:f>INTERCEPT($G$5:$G$64,$J$5:$J$64)+SLOPE($G$5:$G$64,$J$5:$J$64)*J60</x:f>
        <x:v>9726.481496886867</x:v>
      </x:c>
      <x:c r="I60" s="127" t="n">
        <x:f>IF(J60&lt;=31,INTERCEPT($G$5:$G$36,$J$5:$J$36)+SLOPE($G$5:$G$36,$J$5:$J$36)*J60,INTERCEPT($G$37:$G$64,$J$37:$J$64)+SLOPE($G$37:$G$64,$J$37:$J$64)*J60)</x:f>
        <x:v>9886.516655587813</x:v>
      </x:c>
      <x:c r="J60" s="130" t="n">
        <x:f>55</x:f>
        <x:v>55</x:v>
      </x:c>
      <x:c r="K60" s="1"/>
      <x:c r="L60" s="1"/>
      <x:c r="M60" s="1"/>
      <x:c r="N60" s="1"/>
      <x:c r="O60" s="1"/>
      <x:c r="P60" s="1"/>
    </x:row>
    <x:row r="61" ht="19" customHeight="1">
      <x:c r="A61" s="121" t="str">
        <x:f>Quarterly!A62</x:f>
        <x:v>2025 Q1</x:v>
      </x:c>
      <x:c r="B61" s="124" t="n">
        <x:f>Quarterly!I62</x:f>
        <x:v>8.079990575298531</x:v>
      </x:c>
      <x:c r="C61" s="124" t="n">
        <x:f>INTERCEPT($B$5:$B$64,$E$5:$E$64)+SLOPE($B$5:$B$64,$E$5:$E$64)*E61</x:f>
        <x:v>7.550863214929116</x:v>
      </x:c>
      <x:c r="D61" s="124" t="n">
        <x:f>IF(E61&lt;=31,INTERCEPT($B$5:$B$36,$E$5:$E$36)+SLOPE($B$5:$B$36,$E$5:$E$36)*E61,INTERCEPT($B$37:$B$64,$E$37:$E$64)+SLOPE($B$37:$B$64,$E$37:$E$64)*E61)</x:f>
        <x:v>7.668678294938157</x:v>
      </x:c>
      <x:c r="E61" s="130" t="n">
        <x:f>56</x:f>
        <x:v>56</x:v>
      </x:c>
      <x:c r="F61" s="121" t="str">
        <x:f>Quarterly!A62</x:f>
        <x:v>2025 Q1</x:v>
      </x:c>
      <x:c r="G61" s="127" t="n">
        <x:f>Quarterly!J62</x:f>
        <x:v>10307.693747881354</x:v>
      </x:c>
      <x:c r="H61" s="127" t="n">
        <x:f>INTERCEPT($G$5:$G$64,$J$5:$J$64)+SLOPE($G$5:$G$64,$J$5:$J$64)*J61</x:f>
        <x:v>9815.727428247346</x:v>
      </x:c>
      <x:c r="I61" s="127" t="n">
        <x:f>IF(J61&lt;=31,INTERCEPT($G$5:$G$36,$J$5:$J$36)+SLOPE($G$5:$G$36,$J$5:$J$36)*J61,INTERCEPT($G$37:$G$64,$J$37:$J$64)+SLOPE($G$37:$G$64,$J$37:$J$64)*J61)</x:f>
        <x:v>9990.152191135354</x:v>
      </x:c>
      <x:c r="J61" s="130" t="n">
        <x:f>56</x:f>
        <x:v>56</x:v>
      </x:c>
      <x:c r="K61" s="1"/>
      <x:c r="L61" s="1"/>
      <x:c r="M61" s="1"/>
      <x:c r="N61" s="1"/>
      <x:c r="O61" s="1"/>
      <x:c r="P61" s="1"/>
    </x:row>
    <x:row r="62" ht="19" customHeight="1">
      <x:c r="A62" s="121" t="str">
        <x:f>Quarterly!A63</x:f>
        <x:v>2025 Q2</x:v>
      </x:c>
      <x:c r="B62" s="124" t="n">
        <x:f>Quarterly!I63</x:f>
        <x:v>8.041151697505416</x:v>
      </x:c>
      <x:c r="C62" s="124" t="n">
        <x:f>INTERCEPT($B$5:$B$64,$E$5:$E$64)+SLOPE($B$5:$B$64,$E$5:$E$64)*E62</x:f>
        <x:v>7.499415101971191</x:v>
      </x:c>
      <x:c r="D62" s="124" t="n">
        <x:f>IF(E62&lt;=31,INTERCEPT($B$5:$B$36,$E$5:$E$36)+SLOPE($B$5:$B$36,$E$5:$E$36)*E62,INTERCEPT($B$37:$B$64,$E$37:$E$64)+SLOPE($B$37:$B$64,$E$37:$E$64)*E62)</x:f>
        <x:v>7.649179147546661</x:v>
      </x:c>
      <x:c r="E62" s="130" t="n">
        <x:f>57</x:f>
        <x:v>57</x:v>
      </x:c>
      <x:c r="F62" s="121" t="str">
        <x:f>Quarterly!A63</x:f>
        <x:v>2025 Q2</x:v>
      </x:c>
      <x:c r="G62" s="127" t="n">
        <x:f>Quarterly!J63</x:f>
        <x:v>10114.305605745212</x:v>
      </x:c>
      <x:c r="H62" s="127" t="n">
        <x:f>INTERCEPT($G$5:$G$64,$J$5:$J$64)+SLOPE($G$5:$G$64,$J$5:$J$64)*J62</x:f>
        <x:v>9904.973359607826</x:v>
      </x:c>
      <x:c r="I62" s="127" t="n">
        <x:f>IF(J62&lt;=31,INTERCEPT($G$5:$G$36,$J$5:$J$36)+SLOPE($G$5:$G$36,$J$5:$J$36)*J62,INTERCEPT($G$37:$G$64,$J$37:$J$64)+SLOPE($G$37:$G$64,$J$37:$J$64)*J62)</x:f>
        <x:v>10093.787726682896</x:v>
      </x:c>
      <x:c r="J62" s="130" t="n">
        <x:f>57</x:f>
        <x:v>57</x:v>
      </x:c>
      <x:c r="K62" s="1"/>
      <x:c r="L62" s="1"/>
      <x:c r="M62" s="1"/>
      <x:c r="N62" s="1"/>
      <x:c r="O62" s="1"/>
      <x:c r="P62" s="1"/>
    </x:row>
    <x:row r="63" ht="19" customHeight="1">
      <x:c r="A63" s="121" t="str">
        <x:f>Quarterly!A64</x:f>
        <x:v>2025 Q3</x:v>
      </x:c>
      <x:c r="B63" s="124" t="n">
        <x:f>Quarterly!I64</x:f>
        <x:v>8.042879679262356</x:v>
      </x:c>
      <x:c r="C63" s="124" t="n">
        <x:f>INTERCEPT($B$5:$B$64,$E$5:$E$64)+SLOPE($B$5:$B$64,$E$5:$E$64)*E63</x:f>
        <x:v>7.447966989013268</x:v>
      </x:c>
      <x:c r="D63" s="124" t="n">
        <x:f>IF(E63&lt;=31,INTERCEPT($B$5:$B$36,$E$5:$E$36)+SLOPE($B$5:$B$36,$E$5:$E$36)*E63,INTERCEPT($B$37:$B$64,$E$37:$E$64)+SLOPE($B$37:$B$64,$E$37:$E$64)*E63)</x:f>
        <x:v>7.629680000155165</x:v>
      </x:c>
      <x:c r="E63" s="130" t="n">
        <x:f>58</x:f>
        <x:v>58</x:v>
      </x:c>
      <x:c r="F63" s="121" t="str">
        <x:f>Quarterly!A64</x:f>
        <x:v>2025 Q3</x:v>
      </x:c>
      <x:c r="G63" s="127" t="n">
        <x:f>Quarterly!J64</x:f>
        <x:v>10127.685403342273</x:v>
      </x:c>
      <x:c r="H63" s="127" t="n">
        <x:f>INTERCEPT($G$5:$G$64,$J$5:$J$64)+SLOPE($G$5:$G$64,$J$5:$J$64)*J63</x:f>
        <x:v>9994.219290968304</x:v>
      </x:c>
      <x:c r="I63" s="127" t="n">
        <x:f>IF(J63&lt;=31,INTERCEPT($G$5:$G$36,$J$5:$J$36)+SLOPE($G$5:$G$36,$J$5:$J$36)*J63,INTERCEPT($G$37:$G$64,$J$37:$J$64)+SLOPE($G$37:$G$64,$J$37:$J$64)*J63)</x:f>
        <x:v>10197.423262230437</x:v>
      </x:c>
      <x:c r="J63" s="130" t="n">
        <x:f>58</x:f>
        <x:v>58</x:v>
      </x:c>
      <x:c r="K63" s="1"/>
      <x:c r="L63" s="1"/>
      <x:c r="M63" s="1"/>
      <x:c r="N63" s="1"/>
      <x:c r="O63" s="1"/>
      <x:c r="P63" s="1"/>
    </x:row>
    <x:row r="64" ht="19" customHeight="1">
      <x:c r="A64" s="122" t="str">
        <x:f>Quarterly!A65</x:f>
        <x:v>2025 Q4</x:v>
      </x:c>
      <x:c r="B64" s="125" t="n">
        <x:f>Quarterly!I65</x:f>
        <x:v>8.027895155574083</x:v>
      </x:c>
      <x:c r="C64" s="125" t="n">
        <x:f>INTERCEPT($B$5:$B$64,$E$5:$E$64)+SLOPE($B$5:$B$64,$E$5:$E$64)*E64</x:f>
        <x:v>7.396518876055344</x:v>
      </x:c>
      <x:c r="D64" s="125" t="n">
        <x:f>IF(E64&lt;=31,INTERCEPT($B$5:$B$36,$E$5:$E$36)+SLOPE($B$5:$B$36,$E$5:$E$36)*E64,INTERCEPT($B$37:$B$64,$E$37:$E$64)+SLOPE($B$37:$B$64,$E$37:$E$64)*E64)</x:f>
        <x:v>7.61018085276367</x:v>
      </x:c>
      <x:c r="E64" s="131" t="n">
        <x:f>59</x:f>
        <x:v>59</x:v>
      </x:c>
      <x:c r="F64" s="122" t="str">
        <x:f>Quarterly!A65</x:f>
        <x:v>2025 Q4</x:v>
      </x:c>
      <x:c r="G64" s="128" t="n">
        <x:f>Quarterly!J65</x:f>
        <x:v>10222.15044646548</x:v>
      </x:c>
      <x:c r="H64" s="128" t="n">
        <x:f>INTERCEPT($G$5:$G$64,$J$5:$J$64)+SLOPE($G$5:$G$64,$J$5:$J$64)*J64</x:f>
        <x:v>10083.465222328785</x:v>
      </x:c>
      <x:c r="I64" s="128" t="n">
        <x:f>IF(J64&lt;=31,INTERCEPT($G$5:$G$36,$J$5:$J$36)+SLOPE($G$5:$G$36,$J$5:$J$36)*J64,INTERCEPT($G$37:$G$64,$J$37:$J$64)+SLOPE($G$37:$G$64,$J$37:$J$64)*J64)</x:f>
        <x:v>10301.05879777798</x:v>
      </x:c>
      <x:c r="J64" s="131" t="n">
        <x:f>59</x:f>
        <x:v>59</x:v>
      </x:c>
      <x:c r="K64" s="1"/>
      <x:c r="L64" s="1"/>
      <x:c r="M64" s="1"/>
      <x:c r="N64" s="1"/>
      <x:c r="O64" s="1"/>
      <x:c r="P64" s="1"/>
    </x:row>
  </x:sheetData>
  <x:pageMargins left="0.7" right="0.7" top="0.75" bottom="0.75" header="0.3" footer="0.3"/>
  <x:drawing xmlns:r="http://schemas.openxmlformats.org/officeDocument/2006/relationships" r:id="Rf6ba2f99688242ad"/>
</x:worksheet>
</file>